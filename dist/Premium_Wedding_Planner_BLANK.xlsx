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Budget" sheetId="3" state="visible" r:id="rId5"/>
    <sheet name="Vendors" sheetId="4" state="visible" r:id="rId6"/>
    <sheet name="Guest List" sheetId="5" state="visible" r:id="rId7"/>
    <sheet name="Seating Plan" sheetId="6" state="visible" r:id="rId8"/>
    <sheet name="Timeline" sheetId="7" state="visible" r:id="rId9"/>
    <sheet name="Master Checklist" sheetId="8" state="visible" r:id="rId10"/>
    <sheet name="Payments" sheetId="9" state="visible" r:id="rId11"/>
    <sheet name="Wedding Party" sheetId="10" state="visible" r:id="rId12"/>
    <sheet name="Venue Comparison" sheetId="11" state="visible" r:id="rId13"/>
    <sheet name="Food &amp; Drinks" sheetId="12" state="visible" r:id="rId14"/>
    <sheet name="Honeymoon Budget" sheetId="13" state="visible" r:id="rId15"/>
    <sheet name="Contacts" sheetId="14" state="visible" r:id="rId16"/>
    <sheet name="Gift Tracker" sheetId="15" state="visible" r:id="rId17"/>
    <sheet name="Calendar" sheetId="16" state="visible" r:id="rId18"/>
    <sheet name="Settings" sheetId="17" state="visible" r:id="rId19"/>
    <sheet name="Lists" sheetId="18" state="hidden" r:id="rId20"/>
  </sheets>
  <definedNames>
    <definedName function="false" hidden="false" localSheetId="2" name="_xlnm.Print_Area" vbProcedure="false">Budget!$A$1:$N$35</definedName>
    <definedName function="false" hidden="false" localSheetId="2" name="_xlnm.Print_Titles" vbProcedure="false">Budget!$5:$5</definedName>
    <definedName function="false" hidden="true" localSheetId="2" name="_xlnm._FilterDatabase" vbProcedure="false">Budget!$B$5:$N$35</definedName>
    <definedName function="false" hidden="false" localSheetId="15" name="_xlnm.Print_Area" vbProcedure="false">Calendar!$A$1:$E$94</definedName>
    <definedName function="false" hidden="false" localSheetId="15" name="_xlnm.Print_Titles" vbProcedure="false">Calendar!$6:$6</definedName>
    <definedName function="false" hidden="false" localSheetId="13" name="_xlnm.Print_Area" vbProcedure="false">Contacts!$A$1:$J$25</definedName>
    <definedName function="false" hidden="false" localSheetId="13" name="_xlnm.Print_Titles" vbProcedure="false">Contacts!$5:$5</definedName>
    <definedName function="false" hidden="true" localSheetId="13" name="_xlnm._FilterDatabase" vbProcedure="false">Contacts!$B$5:$J$25</definedName>
    <definedName function="false" hidden="false" localSheetId="1" name="_xlnm.Print_Area" vbProcedure="false">Dashboard!$A$1:$U$107</definedName>
    <definedName function="false" hidden="false" localSheetId="11" name="_xlnm.Print_Area" vbProcedure="false">'Food &amp; Drinks'!$A$1:$I$29</definedName>
    <definedName function="false" hidden="false" localSheetId="11" name="_xlnm.Print_Titles" vbProcedure="false">'Food &amp; Drinks'!$5:$5</definedName>
    <definedName function="false" hidden="true" localSheetId="11" name="_xlnm._FilterDatabase" vbProcedure="false">'Food &amp; Drinks'!$B$5:$I$29</definedName>
    <definedName function="false" hidden="false" localSheetId="14" name="_xlnm.Print_Area" vbProcedure="false">'Gift Tracker'!$A$1:$H$33</definedName>
    <definedName function="false" hidden="false" localSheetId="14" name="_xlnm.Print_Titles" vbProcedure="false">'Gift Tracker'!$5:$5</definedName>
    <definedName function="false" hidden="true" localSheetId="14" name="_xlnm._FilterDatabase" vbProcedure="false">'Gift Tracker'!$B$5:$H$33</definedName>
    <definedName function="false" hidden="false" localSheetId="4" name="_xlnm.Print_Area" vbProcedure="false">'Guest List'!$A$1:$P$65</definedName>
    <definedName function="false" hidden="false" localSheetId="4" name="_xlnm.Print_Titles" vbProcedure="false">'Guest List'!$5:$5</definedName>
    <definedName function="false" hidden="true" localSheetId="4" name="_xlnm._FilterDatabase" vbProcedure="false">'Guest List'!$B$5:$P$65</definedName>
    <definedName function="false" hidden="false" localSheetId="12" name="_xlnm.Print_Area" vbProcedure="false">'Honeymoon Budget'!$A$1:$I$15</definedName>
    <definedName function="false" hidden="false" localSheetId="12" name="_xlnm.Print_Titles" vbProcedure="false">'Honeymoon Budget'!$5:$5</definedName>
    <definedName function="false" hidden="true" localSheetId="12" name="_xlnm._FilterDatabase" vbProcedure="false">'Honeymoon Budget'!$B$5:$I$15</definedName>
    <definedName function="false" hidden="false" localSheetId="7" name="_xlnm.Print_Area" vbProcedure="false">'Master Checklist'!$A$1:$I$65</definedName>
    <definedName function="false" hidden="false" localSheetId="7" name="_xlnm.Print_Titles" vbProcedure="false">'Master Checklist'!$5:$5</definedName>
    <definedName function="false" hidden="true" localSheetId="7" name="_xlnm._FilterDatabase" vbProcedure="false">'Master Checklist'!$B$5:$I$65</definedName>
    <definedName function="false" hidden="false" localSheetId="8" name="_xlnm.Print_Area" vbProcedure="false">Payments!$A$1:$K$29</definedName>
    <definedName function="false" hidden="false" localSheetId="8" name="_xlnm.Print_Titles" vbProcedure="false">Payments!$5:$5</definedName>
    <definedName function="false" hidden="true" localSheetId="8" name="_xlnm._FilterDatabase" vbProcedure="false">Payments!$B$5:$K$29</definedName>
    <definedName function="false" hidden="false" localSheetId="5" name="_xlnm.Print_Area" vbProcedure="false">'Seating Plan'!$A$1:$K$80</definedName>
    <definedName function="false" hidden="false" localSheetId="5" name="_xlnm.Print_Titles" vbProcedure="false">'Seating Plan'!$20:$20</definedName>
    <definedName function="false" hidden="false" localSheetId="16" name="_xlnm.Print_Area" vbProcedure="false">Settings!$A$1:$F$18</definedName>
    <definedName function="false" hidden="false" localSheetId="0" name="_xlnm.Print_Area" vbProcedure="false">'START HERE'!$A$1:$H$31</definedName>
    <definedName function="false" hidden="false" localSheetId="6" name="_xlnm.Print_Area" vbProcedure="false">Timeline!$A$1:$G$21</definedName>
    <definedName function="false" hidden="false" localSheetId="6" name="_xlnm.Print_Titles" vbProcedure="false">Timeline!$5:$5</definedName>
    <definedName function="false" hidden="true" localSheetId="6" name="_xlnm._FilterDatabase" vbProcedure="false">Timeline!$B$5:$G$21</definedName>
    <definedName function="false" hidden="false" localSheetId="3" name="_xlnm.Print_Area" vbProcedure="false">Vendors!$A$1:$P$31</definedName>
    <definedName function="false" hidden="false" localSheetId="3" name="_xlnm.Print_Titles" vbProcedure="false">Vendors!$5:$5</definedName>
    <definedName function="false" hidden="true" localSheetId="3" name="_xlnm._FilterDatabase" vbProcedure="false">Vendors!$B$5:$P$31</definedName>
    <definedName function="false" hidden="false" localSheetId="10" name="_xlnm.Print_Area" vbProcedure="false">'Venue Comparison'!$A$1:$N$15</definedName>
    <definedName function="false" hidden="false" localSheetId="10" name="_xlnm.Print_Titles" vbProcedure="false">'Venue Comparison'!$5:$5</definedName>
    <definedName function="false" hidden="true" localSheetId="10" name="_xlnm._FilterDatabase" vbProcedure="false">'Venue Comparison'!$B$5:$N$15</definedName>
    <definedName function="false" hidden="false" localSheetId="9" name="_xlnm.Print_Area" vbProcedure="false">'Wedding Party'!$A$1:$I$17</definedName>
    <definedName function="false" hidden="false" localSheetId="9" name="_xlnm.Print_Titles" vbProcedure="false">'Wedding Party'!$5:$5</definedName>
    <definedName function="false" hidden="true" localSheetId="9" name="_xlnm._FilterDatabase" vbProcedure="false">'Wedding Party'!$B$5:$I$17</definedName>
    <definedName function="false" hidden="false" name="CurrencySymbol" vbProcedure="false">Settings!$C$9</definedName>
    <definedName function="false" hidden="false" name="GuestTarget" vbProcedure="false">Settings!$C$11</definedName>
    <definedName function="false" hidden="false" name="HoneymoonBudgetSetting" vbProcedure="false">Settings!$C$15</definedName>
    <definedName function="false" hidden="false" name="Partner1Name" vbProcedure="false">Settings!$C$6</definedName>
    <definedName function="false" hidden="false" name="Partner2Name" vbProcedure="false">Settings!$C$7</definedName>
    <definedName function="false" hidden="false" name="RSVPDeadline" vbProcedure="false">Settings!$C$16</definedName>
    <definedName function="false" hidden="false" name="SeatsPerTable" vbProcedure="false">Settings!$C$14</definedName>
    <definedName function="false" hidden="false" name="TableCount" vbProcedure="false">Settings!$C$13</definedName>
    <definedName function="false" hidden="false" name="TotalBudget" vbProcedure="false">Settings!$C$12</definedName>
    <definedName function="false" hidden="false" name="WeddingDate" vbProcedure="false">Settings!$C$8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<sst xmlns="http://schemas.openxmlformats.org/spreadsheetml/2006/main" count="450" uniqueCount="328">
  <si>
    <t xml:space="preserve">WELCOME TO YOUR PREMIUM WEDDING PLANNER</t>
  </si>
  <si>
    <t xml:space="preserve">A calm, elegant system for planning every detail of your wedding — from budget to seating chart.</t>
  </si>
  <si>
    <t xml:space="preserve">HOW THIS WORKBOOK WORKS</t>
  </si>
  <si>
    <t xml:space="preserve">1. Start on the Settings sheet — enter your names, wedding date, budget and guest target once.</t>
  </si>
  <si>
    <t xml:space="preserve">2. Every other sheet (Dashboard, Budget, Guest List, Checklist and more) calculates automatically from what you enter.</t>
  </si>
  <si>
    <t xml:space="preserve">3. Use the dropdown menus in colored-header columns to keep your data consistent — just click a cell and choose from the list.</t>
  </si>
  <si>
    <t xml:space="preserve">4. Visit the Dashboard any time for a beautiful, real-time snapshot of your whole wedding.</t>
  </si>
  <si>
    <t xml:space="preserve">5. Each sheet has a small navigation link at the top-left to jump back to the Dashboard or this page.</t>
  </si>
  <si>
    <t xml:space="preserve">6. All key sheets are print-ready — use File &gt; Print, and each will fit neatly on the page.</t>
  </si>
  <si>
    <t xml:space="preserve">WHAT'S INSIDE</t>
  </si>
  <si>
    <t xml:space="preserve">Dashboard</t>
  </si>
  <si>
    <t xml:space="preserve">Your wedding at a glance — budget, guests, checklist and more.</t>
  </si>
  <si>
    <t xml:space="preserve">Budget</t>
  </si>
  <si>
    <t xml:space="preserve">Track every planned and actual expense by category.</t>
  </si>
  <si>
    <t xml:space="preserve">Vendors</t>
  </si>
  <si>
    <t xml:space="preserve">Contact details, quotes and contracts for every vendor.</t>
  </si>
  <si>
    <t xml:space="preserve">Guest List</t>
  </si>
  <si>
    <t xml:space="preserve">Manage invitations, RSVPs and meal preferences.</t>
  </si>
  <si>
    <t xml:space="preserve">Seating Plan</t>
  </si>
  <si>
    <t xml:space="preserve">Assign guests to tables, synced with your Guest List.</t>
  </si>
  <si>
    <t xml:space="preserve">Timeline</t>
  </si>
  <si>
    <t xml:space="preserve">Minute-by-minute plan for the wedding day.</t>
  </si>
  <si>
    <t xml:space="preserve">Master Checklist</t>
  </si>
  <si>
    <t xml:space="preserve">Every planning task, organized by timeframe.</t>
  </si>
  <si>
    <t xml:space="preserve">Payments</t>
  </si>
  <si>
    <t xml:space="preserve">Every deposit, balance and due date.</t>
  </si>
  <si>
    <t xml:space="preserve">Wedding Party</t>
  </si>
  <si>
    <t xml:space="preserve">Roles and responsibilities for your closest circle.</t>
  </si>
  <si>
    <t xml:space="preserve">Venue Comparison</t>
  </si>
  <si>
    <t xml:space="preserve">Compare every venue you're considering.</t>
  </si>
  <si>
    <t xml:space="preserve">Food &amp; Drinks</t>
  </si>
  <si>
    <t xml:space="preserve">Plan your menu and catering costs.</t>
  </si>
  <si>
    <t xml:space="preserve">Honeymoon Budget</t>
  </si>
  <si>
    <t xml:space="preserve">Plan and track your post-wedding getaway.</t>
  </si>
  <si>
    <t xml:space="preserve">Contacts</t>
  </si>
  <si>
    <t xml:space="preserve">Every phone number and email in one place.</t>
  </si>
  <si>
    <t xml:space="preserve">Gift Tracker</t>
  </si>
  <si>
    <t xml:space="preserve">Track gifts received and thank-you notes.</t>
  </si>
  <si>
    <t xml:space="preserve">Calendar</t>
  </si>
  <si>
    <t xml:space="preserve">A chronological view of tasks and payment deadlines.</t>
  </si>
  <si>
    <t xml:space="preserve">Settings</t>
  </si>
  <si>
    <t xml:space="preserve">Your wedding details, budget and dropdown lists.</t>
  </si>
  <si>
    <t xml:space="preserve">‹ Start Here</t>
  </si>
  <si>
    <t xml:space="preserve">OUR WEDDING</t>
  </si>
  <si>
    <t xml:space="preserve">FINANCIAL SNAPSHOT</t>
  </si>
  <si>
    <t xml:space="preserve">TOTAL BUDGET</t>
  </si>
  <si>
    <t xml:space="preserve">ACTUAL SPENDING</t>
  </si>
  <si>
    <t xml:space="preserve">REMAINING BUDGET</t>
  </si>
  <si>
    <t xml:space="preserve">AMOUNT PAID</t>
  </si>
  <si>
    <t xml:space="preserve">OUTSTANDING</t>
  </si>
  <si>
    <t xml:space="preserve">GUEST SNAPSHOT</t>
  </si>
  <si>
    <t xml:space="preserve">TOTAL GUESTS</t>
  </si>
  <si>
    <t xml:space="preserve">CONFIRMED</t>
  </si>
  <si>
    <t xml:space="preserve">PENDING RSVPS</t>
  </si>
  <si>
    <t xml:space="preserve">NOT ATTENDING</t>
  </si>
  <si>
    <t xml:space="preserve">VENDORS BOOKED</t>
  </si>
  <si>
    <t xml:space="preserve">PLANNING PROGRESS &amp; HONEYMOON</t>
  </si>
  <si>
    <t xml:space="preserve">CHECKLIST COMPLETE</t>
  </si>
  <si>
    <t xml:space="preserve">TASKS REMAINING</t>
  </si>
  <si>
    <t xml:space="preserve">OUTSTANDING VENDOR PMTS</t>
  </si>
  <si>
    <t xml:space="preserve">HONEYMOON BUDGET</t>
  </si>
  <si>
    <t xml:space="preserve">HONEYMOON REMAINING</t>
  </si>
  <si>
    <t xml:space="preserve">ATTENTION NEEDED</t>
  </si>
  <si>
    <t xml:space="preserve">OVERDUE PAYMENTS</t>
  </si>
  <si>
    <t xml:space="preserve">OVERDUE TASKS</t>
  </si>
  <si>
    <t xml:space="preserve">OVER-BUDGET CATEGORIES</t>
  </si>
  <si>
    <t xml:space="preserve">‹ Dashboard</t>
  </si>
  <si>
    <t xml:space="preserve">BUDGET &amp; EXPENSES</t>
  </si>
  <si>
    <t xml:space="preserve">Track your wedding spending and stay within your plan.</t>
  </si>
  <si>
    <t xml:space="preserve">Category</t>
  </si>
  <si>
    <t xml:space="preserve">Subcategory</t>
  </si>
  <si>
    <t xml:space="preserve">Item / Description</t>
  </si>
  <si>
    <t xml:space="preserve">Vendor</t>
  </si>
  <si>
    <t xml:space="preserve">Planned Budget</t>
  </si>
  <si>
    <t xml:space="preserve">Actual Cost</t>
  </si>
  <si>
    <t xml:space="preserve">Difference</t>
  </si>
  <si>
    <t xml:space="preserve">Deposit</t>
  </si>
  <si>
    <t xml:space="preserve">Amount Paid</t>
  </si>
  <si>
    <t xml:space="preserve">Amount Remaining</t>
  </si>
  <si>
    <t xml:space="preserve">Due Date</t>
  </si>
  <si>
    <t xml:space="preserve">Payment Status</t>
  </si>
  <si>
    <t xml:space="preserve">Notes</t>
  </si>
  <si>
    <t xml:space="preserve">BUDGET SUMMARY</t>
  </si>
  <si>
    <t xml:space="preserve">TOTAL PLANNED</t>
  </si>
  <si>
    <t xml:space="preserve">TOTAL ACTUAL</t>
  </si>
  <si>
    <t xml:space="preserve">TOTAL REMAINING</t>
  </si>
  <si>
    <t xml:space="preserve">BUDGET USED</t>
  </si>
  <si>
    <t xml:space="preserve">VENDOR DIRECTORY</t>
  </si>
  <si>
    <t xml:space="preserve">Every vendor, quote and contract in one elegant place.</t>
  </si>
  <si>
    <t xml:space="preserve">Vendor Name</t>
  </si>
  <si>
    <t xml:space="preserve">Contact Person</t>
  </si>
  <si>
    <t xml:space="preserve">Phone</t>
  </si>
  <si>
    <t xml:space="preserve">Email</t>
  </si>
  <si>
    <t xml:space="preserve">Website</t>
  </si>
  <si>
    <t xml:space="preserve">Quote</t>
  </si>
  <si>
    <t xml:space="preserve">Final Cost</t>
  </si>
  <si>
    <t xml:space="preserve">Remaining</t>
  </si>
  <si>
    <t xml:space="preserve">Contract Status</t>
  </si>
  <si>
    <t xml:space="preserve">Rating</t>
  </si>
  <si>
    <t xml:space="preserve">VENDOR SUMMARY</t>
  </si>
  <si>
    <t xml:space="preserve">TOTAL VENDORS</t>
  </si>
  <si>
    <t xml:space="preserve">CONTRACTS SIGNED</t>
  </si>
  <si>
    <t xml:space="preserve">OUTSTANDING BALANCE</t>
  </si>
  <si>
    <t xml:space="preserve">GUEST LIST &amp; RSVP</t>
  </si>
  <si>
    <t xml:space="preserve">Manage every invitee, RSVP and meal preference.</t>
  </si>
  <si>
    <t xml:space="preserve">Guest Name</t>
  </si>
  <si>
    <t xml:space="preserve">Household / Group</t>
  </si>
  <si>
    <t xml:space="preserve">Side</t>
  </si>
  <si>
    <t xml:space="preserve">Relationship</t>
  </si>
  <si>
    <t xml:space="preserve">Invitation Sent</t>
  </si>
  <si>
    <t xml:space="preserve">RSVP Status</t>
  </si>
  <si>
    <t xml:space="preserve">Plus One</t>
  </si>
  <si>
    <t xml:space="preserve">Plus One Name</t>
  </si>
  <si>
    <t xml:space="preserve">Meal Preference</t>
  </si>
  <si>
    <t xml:space="preserve">Dietary Restrictions</t>
  </si>
  <si>
    <t xml:space="preserve">Children Attending</t>
  </si>
  <si>
    <t xml:space="preserve">Table Number</t>
  </si>
  <si>
    <t xml:space="preserve">GUEST SUMMARY</t>
  </si>
  <si>
    <t xml:space="preserve">TOTAL INVITED</t>
  </si>
  <si>
    <t xml:space="preserve">ATTENDING</t>
  </si>
  <si>
    <t xml:space="preserve">PENDING</t>
  </si>
  <si>
    <t xml:space="preserve">DECLINED</t>
  </si>
  <si>
    <t xml:space="preserve">SEATING PLAN</t>
  </si>
  <si>
    <t xml:space="preserve">Assign every guest to a table — synced automatically with your Guest List.</t>
  </si>
  <si>
    <t xml:space="preserve">TABLE OVERVIEW</t>
  </si>
  <si>
    <t xml:space="preserve">Table #</t>
  </si>
  <si>
    <t xml:space="preserve">Capacity</t>
  </si>
  <si>
    <t xml:space="preserve">Seated</t>
  </si>
  <si>
    <t xml:space="preserve">Seats Remaining</t>
  </si>
  <si>
    <t xml:space="preserve">GUEST ROSTER</t>
  </si>
  <si>
    <t xml:space="preserve">Household</t>
  </si>
  <si>
    <t xml:space="preserve">Meal</t>
  </si>
  <si>
    <t xml:space="preserve">Special Requirements</t>
  </si>
  <si>
    <t xml:space="preserve">WEDDING DAY TIMELINE</t>
  </si>
  <si>
    <t xml:space="preserve">Minute-by-minute plan for the big day.</t>
  </si>
  <si>
    <t xml:space="preserve">Time</t>
  </si>
  <si>
    <t xml:space="preserve">Event</t>
  </si>
  <si>
    <t xml:space="preserve">Location</t>
  </si>
  <si>
    <t xml:space="preserve">Person Responsible</t>
  </si>
  <si>
    <t xml:space="preserve">MASTER CHECKLIST</t>
  </si>
  <si>
    <t xml:space="preserve">Every planning task, organized by timeline.</t>
  </si>
  <si>
    <t xml:space="preserve">Period</t>
  </si>
  <si>
    <t xml:space="preserve">Task</t>
  </si>
  <si>
    <t xml:space="preserve">Priority</t>
  </si>
  <si>
    <t xml:space="preserve">Owner</t>
  </si>
  <si>
    <t xml:space="preserve">Status</t>
  </si>
  <si>
    <t xml:space="preserve">CHECKLIST SUMMARY</t>
  </si>
  <si>
    <t xml:space="preserve">TOTAL TASKS</t>
  </si>
  <si>
    <t xml:space="preserve">COMPLETED</t>
  </si>
  <si>
    <t xml:space="preserve">REMAINING</t>
  </si>
  <si>
    <t xml:space="preserve">COMPLETION %</t>
  </si>
  <si>
    <t xml:space="preserve">PAYMENT SCHEDULE</t>
  </si>
  <si>
    <t xml:space="preserve">Every deposit, balance and due date, tracked automatically.</t>
  </si>
  <si>
    <t xml:space="preserve">Expense</t>
  </si>
  <si>
    <t xml:space="preserve">Total Cost</t>
  </si>
  <si>
    <t xml:space="preserve">Payment Method</t>
  </si>
  <si>
    <t xml:space="preserve">PAYMENTS SUMMARY</t>
  </si>
  <si>
    <t xml:space="preserve">TOTAL PAYABLE</t>
  </si>
  <si>
    <t xml:space="preserve">TOTAL PAID</t>
  </si>
  <si>
    <t xml:space="preserve">OVERDUE</t>
  </si>
  <si>
    <t xml:space="preserve">WEDDING PARTY</t>
  </si>
  <si>
    <t xml:space="preserve">Roles, responsibilities and attire for your closest circle.</t>
  </si>
  <si>
    <t xml:space="preserve">Name</t>
  </si>
  <si>
    <t xml:space="preserve">Role</t>
  </si>
  <si>
    <t xml:space="preserve">Responsibilities</t>
  </si>
  <si>
    <t xml:space="preserve">Attire</t>
  </si>
  <si>
    <t xml:space="preserve">VENUE COMPARISON</t>
  </si>
  <si>
    <t xml:space="preserve">Compare every venue you toured, side by side.</t>
  </si>
  <si>
    <t xml:space="preserve">Venue</t>
  </si>
  <si>
    <t xml:space="preserve">Rental Cost</t>
  </si>
  <si>
    <t xml:space="preserve">Catering Cost</t>
  </si>
  <si>
    <t xml:space="preserve">Availability</t>
  </si>
  <si>
    <t xml:space="preserve">Ceremony Included</t>
  </si>
  <si>
    <t xml:space="preserve">Reception Included</t>
  </si>
  <si>
    <t xml:space="preserve">Parking</t>
  </si>
  <si>
    <t xml:space="preserve">Accommodation</t>
  </si>
  <si>
    <t xml:space="preserve">FOOD &amp; DRINKS</t>
  </si>
  <si>
    <t xml:space="preserve">Plan your menu, portions and per-guest cost.</t>
  </si>
  <si>
    <t xml:space="preserve">Catering Vendor</t>
  </si>
  <si>
    <t xml:space="preserve">Menu Item</t>
  </si>
  <si>
    <t xml:space="preserve">Quantity</t>
  </si>
  <si>
    <t xml:space="preserve">Price</t>
  </si>
  <si>
    <t xml:space="preserve">Total</t>
  </si>
  <si>
    <t xml:space="preserve">Dietary Notes</t>
  </si>
  <si>
    <t xml:space="preserve">MENU SUMMARY</t>
  </si>
  <si>
    <t xml:space="preserve">TOTAL MENU COST</t>
  </si>
  <si>
    <t xml:space="preserve">Plan and track spending for your post-wedding getaway.</t>
  </si>
  <si>
    <t xml:space="preserve">HONEYMOON SUMMARY</t>
  </si>
  <si>
    <t xml:space="preserve">PLANNED TOTAL</t>
  </si>
  <si>
    <t xml:space="preserve">ACTUAL TOTAL</t>
  </si>
  <si>
    <t xml:space="preserve">CONTACTS</t>
  </si>
  <si>
    <t xml:space="preserve">Every phone number and email you need, in one place.</t>
  </si>
  <si>
    <t xml:space="preserve">Company</t>
  </si>
  <si>
    <t xml:space="preserve">Address</t>
  </si>
  <si>
    <t xml:space="preserve">GIFT TRACKER</t>
  </si>
  <si>
    <t xml:space="preserve">Track gifts received and thank-you notes sent.</t>
  </si>
  <si>
    <t xml:space="preserve">Gift</t>
  </si>
  <si>
    <t xml:space="preserve">Gift Type</t>
  </si>
  <si>
    <t xml:space="preserve">Value</t>
  </si>
  <si>
    <t xml:space="preserve">Thank You Sent</t>
  </si>
  <si>
    <t xml:space="preserve">Date Received</t>
  </si>
  <si>
    <t xml:space="preserve">GIFT SUMMARY</t>
  </si>
  <si>
    <t xml:space="preserve">GIFTS RECEIVED</t>
  </si>
  <si>
    <t xml:space="preserve">TOTAL VALUE</t>
  </si>
  <si>
    <t xml:space="preserve">THANK-YOUS SENT</t>
  </si>
  <si>
    <t xml:space="preserve">THANK-YOUS PENDING</t>
  </si>
  <si>
    <t xml:space="preserve">PLANNING CALENDAR</t>
  </si>
  <si>
    <t xml:space="preserve">Every task deadline and payment due date, gathered in one chronological view.</t>
  </si>
  <si>
    <t xml:space="preserve">TASK DEADLINES</t>
  </si>
  <si>
    <t xml:space="preserve">PAYMENT DEADLINES</t>
  </si>
  <si>
    <t xml:space="preserve">Vendor / Expense</t>
  </si>
  <si>
    <t xml:space="preserve">Amount</t>
  </si>
  <si>
    <t xml:space="preserve">SETTINGS</t>
  </si>
  <si>
    <t xml:space="preserve">Centralize your wedding details, budget and preferences once — every other sheet updates automatically.</t>
  </si>
  <si>
    <t xml:space="preserve">Partner 1 Name</t>
  </si>
  <si>
    <t xml:space="preserve">Partner 2 Name</t>
  </si>
  <si>
    <t xml:space="preserve">Wedding Date</t>
  </si>
  <si>
    <t xml:space="preserve">Currency Symbol</t>
  </si>
  <si>
    <t xml:space="preserve">$</t>
  </si>
  <si>
    <t xml:space="preserve">Wedding Location</t>
  </si>
  <si>
    <t xml:space="preserve">Guest Target</t>
  </si>
  <si>
    <t xml:space="preserve">Total Wedding Budget</t>
  </si>
  <si>
    <t xml:space="preserve">Number of Tables</t>
  </si>
  <si>
    <t xml:space="preserve">Seats per Table</t>
  </si>
  <si>
    <t xml:space="preserve">RSVP Reply-By Date</t>
  </si>
  <si>
    <t xml:space="preserve">Edit the values above — the Dashboard, Budget, Guest List and every other sheet reference these settings automatically.</t>
  </si>
  <si>
    <t xml:space="preserve">RSVPStatus</t>
  </si>
  <si>
    <t xml:space="preserve">PaymentStatus</t>
  </si>
  <si>
    <t xml:space="preserve">TaskStatus</t>
  </si>
  <si>
    <t xml:space="preserve">ContractStatus</t>
  </si>
  <si>
    <t xml:space="preserve">BudgetCategory</t>
  </si>
  <si>
    <t xml:space="preserve">MealPreference</t>
  </si>
  <si>
    <t xml:space="preserve">InvitationStatus</t>
  </si>
  <si>
    <t xml:space="preserve">PaymentMethod</t>
  </si>
  <si>
    <t xml:space="preserve">YesNo</t>
  </si>
  <si>
    <t xml:space="preserve">GiftType</t>
  </si>
  <si>
    <t xml:space="preserve">ChecklistPeriod</t>
  </si>
  <si>
    <t xml:space="preserve">FoodCategory</t>
  </si>
  <si>
    <t xml:space="preserve">HoneymoonCategory</t>
  </si>
  <si>
    <t xml:space="preserve">PlusOne</t>
  </si>
  <si>
    <t xml:space="preserve">Children</t>
  </si>
  <si>
    <t xml:space="preserve">Planned</t>
  </si>
  <si>
    <t xml:space="preserve">Actual</t>
  </si>
  <si>
    <t xml:space="preserve">Completed</t>
  </si>
  <si>
    <t xml:space="preserve">Pending</t>
  </si>
  <si>
    <t xml:space="preserve">Not Started</t>
  </si>
  <si>
    <t xml:space="preserve">Low</t>
  </si>
  <si>
    <t xml:space="preserve">Not Sent</t>
  </si>
  <si>
    <t xml:space="preserve">Standard</t>
  </si>
  <si>
    <t xml:space="preserve">Partner 1</t>
  </si>
  <si>
    <t xml:space="preserve">Bank Transfer</t>
  </si>
  <si>
    <t xml:space="preserve">Yes</t>
  </si>
  <si>
    <t xml:space="preserve">Physical Gift</t>
  </si>
  <si>
    <t xml:space="preserve">12+ Months Before</t>
  </si>
  <si>
    <t xml:space="preserve">Appetizers</t>
  </si>
  <si>
    <t xml:space="preserve">Flights</t>
  </si>
  <si>
    <t xml:space="preserve">Paid</t>
  </si>
  <si>
    <t xml:space="preserve">12+ Months</t>
  </si>
  <si>
    <t xml:space="preserve">Attending</t>
  </si>
  <si>
    <t xml:space="preserve">Deposit Paid</t>
  </si>
  <si>
    <t xml:space="preserve">In Progress</t>
  </si>
  <si>
    <t xml:space="preserve">Medium</t>
  </si>
  <si>
    <t xml:space="preserve">Sent</t>
  </si>
  <si>
    <t xml:space="preserve">Catering</t>
  </si>
  <si>
    <t xml:space="preserve">Vegetarian</t>
  </si>
  <si>
    <t xml:space="preserve">Save-the-Date Sent</t>
  </si>
  <si>
    <t xml:space="preserve">Partner 2</t>
  </si>
  <si>
    <t xml:space="preserve">Credit Card</t>
  </si>
  <si>
    <t xml:space="preserve">No</t>
  </si>
  <si>
    <t xml:space="preserve">Cash Gift</t>
  </si>
  <si>
    <t xml:space="preserve">9-12 Months Before</t>
  </si>
  <si>
    <t xml:space="preserve">Main Course</t>
  </si>
  <si>
    <t xml:space="preserve">Hotel</t>
  </si>
  <si>
    <t xml:space="preserve">9-12 Months</t>
  </si>
  <si>
    <t xml:space="preserve">Declined</t>
  </si>
  <si>
    <t xml:space="preserve">Partially Paid</t>
  </si>
  <si>
    <t xml:space="preserve">High</t>
  </si>
  <si>
    <t xml:space="preserve">Signed</t>
  </si>
  <si>
    <t xml:space="preserve">Photography</t>
  </si>
  <si>
    <t xml:space="preserve">Vegan</t>
  </si>
  <si>
    <t xml:space="preserve">Both</t>
  </si>
  <si>
    <t xml:space="preserve">Wedding Planner</t>
  </si>
  <si>
    <t xml:space="preserve">Cash</t>
  </si>
  <si>
    <t xml:space="preserve">Gift Card</t>
  </si>
  <si>
    <t xml:space="preserve">6-9 Months Before</t>
  </si>
  <si>
    <t xml:space="preserve">Dessert</t>
  </si>
  <si>
    <t xml:space="preserve">Transportation</t>
  </si>
  <si>
    <t xml:space="preserve">6-9 Months</t>
  </si>
  <si>
    <t xml:space="preserve">Tentative</t>
  </si>
  <si>
    <t xml:space="preserve">Paid in Full</t>
  </si>
  <si>
    <t xml:space="preserve">Overdue</t>
  </si>
  <si>
    <t xml:space="preserve">Cancelled</t>
  </si>
  <si>
    <t xml:space="preserve">Videography</t>
  </si>
  <si>
    <t xml:space="preserve">Gluten-Free</t>
  </si>
  <si>
    <t xml:space="preserve">Cheque</t>
  </si>
  <si>
    <t xml:space="preserve">Experience</t>
  </si>
  <si>
    <t xml:space="preserve">3-6 Months Before</t>
  </si>
  <si>
    <t xml:space="preserve">Cake</t>
  </si>
  <si>
    <t xml:space="preserve">Food</t>
  </si>
  <si>
    <t xml:space="preserve">3-6 Months</t>
  </si>
  <si>
    <t xml:space="preserve">Kids Meal</t>
  </si>
  <si>
    <t xml:space="preserve">Parents</t>
  </si>
  <si>
    <t xml:space="preserve">Digital Wallet</t>
  </si>
  <si>
    <t xml:space="preserve">Registry Item</t>
  </si>
  <si>
    <t xml:space="preserve">1-3 Months Before</t>
  </si>
  <si>
    <t xml:space="preserve">Drinks</t>
  </si>
  <si>
    <t xml:space="preserve">Activities</t>
  </si>
  <si>
    <t xml:space="preserve">1-3 Months</t>
  </si>
  <si>
    <t xml:space="preserve">Beauty</t>
  </si>
  <si>
    <t xml:space="preserve">Other</t>
  </si>
  <si>
    <t xml:space="preserve">Final Month</t>
  </si>
  <si>
    <t xml:space="preserve">Late Night Food</t>
  </si>
  <si>
    <t xml:space="preserve">Shopping</t>
  </si>
  <si>
    <t xml:space="preserve">Flowers</t>
  </si>
  <si>
    <t xml:space="preserve">Wedding Week</t>
  </si>
  <si>
    <t xml:space="preserve">Travel Insurance</t>
  </si>
  <si>
    <t xml:space="preserve">Decor</t>
  </si>
  <si>
    <t xml:space="preserve">Wedding Day</t>
  </si>
  <si>
    <t xml:space="preserve">Miscellaneous</t>
  </si>
  <si>
    <t xml:space="preserve">Entertainment</t>
  </si>
  <si>
    <t xml:space="preserve">Post-Wedding</t>
  </si>
  <si>
    <t xml:space="preserve">Music</t>
  </si>
  <si>
    <t xml:space="preserve">Invitations</t>
  </si>
  <si>
    <t xml:space="preserve">Stationery</t>
  </si>
  <si>
    <t xml:space="preserve">Rings</t>
  </si>
  <si>
    <t xml:space="preserve">Rentals</t>
  </si>
  <si>
    <t xml:space="preserve">Gifts</t>
  </si>
  <si>
    <t xml:space="preserve">Honeymoon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</si>
</sst>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[RED]&quot;-$&quot;#,##0"/>
    <numFmt numFmtId="166" formatCode="#,##0"/>
    <numFmt numFmtId="167" formatCode="0.0%"/>
    <numFmt numFmtId="168" formatCode="d\ mmm\ yyyy"/>
    <numFmt numFmtId="169" formatCode="h:mm\ AM/PM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33333"/>
      <name val="Calibri"/>
      <family val="0"/>
      <charset val="1"/>
    </font>
    <font>
      <i val="true"/>
      <sz val="10.5"/>
      <color rgb="FF715B52"/>
      <name val="Calibri"/>
      <family val="0"/>
      <charset val="1"/>
    </font>
    <font>
      <b val="true"/>
      <sz val="12.5"/>
      <color rgb="FF9D646B"/>
      <name val="Calibri"/>
      <family val="0"/>
      <charset val="1"/>
    </font>
    <font>
      <sz val="10.5"/>
      <color rgb="FF333333"/>
      <name val="Calibri"/>
      <family val="0"/>
      <charset val="1"/>
    </font>
    <font>
      <b val="true"/>
      <u val="single"/>
      <sz val="9.5"/>
      <color rgb="FF715B52"/>
      <name val="Calibri"/>
      <family val="0"/>
      <charset val="1"/>
    </font>
    <font>
      <b val="true"/>
      <sz val="11"/>
      <color rgb="FF9D646B"/>
      <name val="Calibri"/>
      <family val="0"/>
      <charset val="1"/>
    </font>
    <font>
      <b val="true"/>
      <sz val="17"/>
      <color rgb="FF9D646B"/>
      <name val="Calibri"/>
      <family val="0"/>
      <charset val="1"/>
    </font>
    <font>
      <b val="true"/>
      <sz val="26"/>
      <color rgb="FF333333"/>
      <name val="Calibri"/>
      <family val="0"/>
      <charset val="1"/>
    </font>
    <font>
      <i val="true"/>
      <sz val="13"/>
      <color rgb="FF715B52"/>
      <name val="Calibri"/>
      <family val="0"/>
      <charset val="1"/>
    </font>
    <font>
      <b val="true"/>
      <sz val="19"/>
      <color rgb="FF9D646B"/>
      <name val="Calibri"/>
      <family val="0"/>
      <charset val="1"/>
    </font>
    <font>
      <b val="true"/>
      <sz val="19"/>
      <color rgb="FFC98F91"/>
      <name val="Calibri"/>
      <family val="0"/>
      <charset val="1"/>
    </font>
    <font>
      <b val="true"/>
      <sz val="19"/>
      <color rgb="FFA8B5A0"/>
      <name val="Calibri"/>
      <family val="0"/>
      <charset val="1"/>
    </font>
    <font>
      <b val="true"/>
      <sz val="19"/>
      <color rgb="FFB89B5E"/>
      <name val="Calibri"/>
      <family val="0"/>
      <charset val="1"/>
    </font>
    <font>
      <b val="true"/>
      <sz val="9"/>
      <color rgb="FF333333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.5"/>
      <color rgb="FFFFFFFF"/>
      <name val="Calibri"/>
      <family val="0"/>
      <charset val="1"/>
    </font>
    <font>
      <i val="true"/>
      <sz val="9.5"/>
      <color rgb="FF715B52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3E9DF"/>
        <bgColor rgb="FFE6DDD3"/>
      </patternFill>
    </fill>
    <fill>
      <patternFill patternType="solid">
        <fgColor rgb="FFF5E4E1"/>
        <bgColor rgb="FFF3D9D6"/>
      </patternFill>
    </fill>
    <fill>
      <patternFill patternType="solid">
        <fgColor rgb="FFFFFDF9"/>
        <bgColor rgb="FFFFFFFF"/>
      </patternFill>
    </fill>
    <fill>
      <patternFill patternType="solid">
        <fgColor rgb="FF9D646B"/>
        <bgColor rgb="FF715B52"/>
      </patternFill>
    </fill>
    <fill>
      <patternFill patternType="solid">
        <fgColor rgb="FFFBF5F0"/>
        <bgColor rgb="FFFFFDF9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89B5E"/>
      </bottom>
      <diagonal/>
    </border>
    <border diagonalUp="false" diagonalDown="false">
      <left style="thin">
        <color rgb="FFB89B5E"/>
      </left>
      <right/>
      <top/>
      <bottom style="medium">
        <color rgb="FFB89B5E"/>
      </bottom>
      <diagonal/>
    </border>
    <border diagonalUp="false" diagonalDown="false">
      <left style="thin">
        <color rgb="FFB89B5E"/>
      </left>
      <right style="thin">
        <color rgb="FFB89B5E"/>
      </right>
      <top style="medium">
        <color rgb="FF9D646B"/>
      </top>
      <bottom style="thin">
        <color rgb="FFB89B5E"/>
      </bottom>
      <diagonal/>
    </border>
    <border diagonalUp="false" diagonalDown="false">
      <left style="thin">
        <color rgb="FFB89B5E"/>
      </left>
      <right style="thin">
        <color rgb="FFB89B5E"/>
      </right>
      <top style="medium">
        <color rgb="FFC98F91"/>
      </top>
      <bottom style="thin">
        <color rgb="FFB89B5E"/>
      </bottom>
      <diagonal/>
    </border>
    <border diagonalUp="false" diagonalDown="false">
      <left style="thin">
        <color rgb="FFB89B5E"/>
      </left>
      <right style="thin">
        <color rgb="FFB89B5E"/>
      </right>
      <top style="medium">
        <color rgb="FFA8B5A0"/>
      </top>
      <bottom style="thin">
        <color rgb="FFB89B5E"/>
      </bottom>
      <diagonal/>
    </border>
    <border diagonalUp="false" diagonalDown="false">
      <left style="thin">
        <color rgb="FFB89B5E"/>
      </left>
      <right style="thin">
        <color rgb="FFB89B5E"/>
      </right>
      <top style="medium">
        <color rgb="FFB89B5E"/>
      </top>
      <bottom style="thin">
        <color rgb="FFB89B5E"/>
      </bottom>
      <diagonal/>
    </border>
    <border diagonalUp="false" diagonalDown="false">
      <left style="thin">
        <color rgb="FFB89B5E"/>
      </left>
      <right style="thin">
        <color rgb="FFB89B5E"/>
      </right>
      <top style="thin">
        <color rgb="FFB89B5E"/>
      </top>
      <bottom style="thin">
        <color rgb="FFB89B5E"/>
      </bottom>
      <diagonal/>
    </border>
    <border diagonalUp="false" diagonalDown="false">
      <left style="thin">
        <color rgb="FFE6DDD3"/>
      </left>
      <right style="thin">
        <color rgb="FFE6DDD3"/>
      </right>
      <top style="thin">
        <color rgb="FFE6DDD3"/>
      </top>
      <bottom style="thin">
        <color rgb="FFE6D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9D64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3E9DF"/>
        </patternFill>
      </fill>
    </dxf>
    <dxf>
      <fill>
        <patternFill>
          <bgColor rgb="FFF3D9D6"/>
        </patternFill>
      </fill>
    </dxf>
    <dxf>
      <fill>
        <patternFill>
          <bgColor rgb="FFF5E4E1"/>
        </patternFill>
      </fill>
    </dxf>
    <dxf>
      <fill>
        <patternFill>
          <bgColor rgb="FFD2BC8B"/>
        </patternFill>
      </fill>
    </dxf>
    <dxf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9B5E"/>
      <rgbColor rgb="FF800080"/>
      <rgbColor rgb="FF008080"/>
      <rgbColor rgb="FFC7D2C0"/>
      <rgbColor rgb="FF878787"/>
      <rgbColor rgb="FF9999FF"/>
      <rgbColor rgb="FF9D646B"/>
      <rgbColor rgb="FFFBF5F0"/>
      <rgbColor rgb="FFFFFDF9"/>
      <rgbColor rgb="FF660066"/>
      <rgbColor rgb="FFC98F9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DDD3"/>
      <rgbColor rgb="FFE3E9DF"/>
      <rgbColor rgb="FFF5E4E1"/>
      <rgbColor rgb="FF99CCFF"/>
      <rgbColor rgb="FFD9B8B4"/>
      <rgbColor rgb="FFD2BC8B"/>
      <rgbColor rgb="FFF3D9D6"/>
      <rgbColor rgb="FF3366FF"/>
      <rgbColor rgb="FF33CCCC"/>
      <rgbColor rgb="FF99CC00"/>
      <rgbColor rgb="FFFFCC00"/>
      <rgbColor rgb="FFFF9900"/>
      <rgbColor rgb="FFFF6600"/>
      <rgbColor rgb="FF715B52"/>
      <rgbColor rgb="FFA8B5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vs. Actual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Lists!W1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c98f9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Lists!$F$2:$F$21</c:f>
              <c:strCache>
                <c:ptCount val="20"/>
                <c:pt idx="0">
                  <c:v>Venue</c:v>
                </c:pt>
                <c:pt idx="1">
                  <c:v>Catering</c:v>
                </c:pt>
                <c:pt idx="2">
                  <c:v>Photography</c:v>
                </c:pt>
                <c:pt idx="3">
                  <c:v>Videography</c:v>
                </c:pt>
                <c:pt idx="4">
                  <c:v>Attire</c:v>
                </c:pt>
                <c:pt idx="5">
                  <c:v>Beauty</c:v>
                </c:pt>
                <c:pt idx="6">
                  <c:v>Flowers</c:v>
                </c:pt>
                <c:pt idx="7">
                  <c:v>Decor</c:v>
                </c:pt>
                <c:pt idx="8">
                  <c:v>Entertainment</c:v>
                </c:pt>
                <c:pt idx="9">
                  <c:v>Music</c:v>
                </c:pt>
                <c:pt idx="10">
                  <c:v>Transportation</c:v>
                </c:pt>
                <c:pt idx="11">
                  <c:v>Invitations</c:v>
                </c:pt>
                <c:pt idx="12">
                  <c:v>Stationery</c:v>
                </c:pt>
                <c:pt idx="13">
                  <c:v>Cake</c:v>
                </c:pt>
                <c:pt idx="14">
                  <c:v>Rings</c:v>
                </c:pt>
                <c:pt idx="15">
                  <c:v>Rentals</c:v>
                </c:pt>
                <c:pt idx="16">
                  <c:v>Accommodation</c:v>
                </c:pt>
                <c:pt idx="17">
                  <c:v>Gifts</c:v>
                </c:pt>
                <c:pt idx="18">
                  <c:v>Honeymoon</c:v>
                </c:pt>
                <c:pt idx="19">
                  <c:v>Miscellaneous</c:v>
                </c:pt>
              </c:strCache>
            </c:strRef>
          </c:cat>
          <c:val>
            <c:numRef>
              <c:f>Lists!$W$2:$W$21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Lists!X1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a8b5a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Lists!$F$2:$F$21</c:f>
              <c:strCache>
                <c:ptCount val="20"/>
                <c:pt idx="0">
                  <c:v>Venue</c:v>
                </c:pt>
                <c:pt idx="1">
                  <c:v>Catering</c:v>
                </c:pt>
                <c:pt idx="2">
                  <c:v>Photography</c:v>
                </c:pt>
                <c:pt idx="3">
                  <c:v>Videography</c:v>
                </c:pt>
                <c:pt idx="4">
                  <c:v>Attire</c:v>
                </c:pt>
                <c:pt idx="5">
                  <c:v>Beauty</c:v>
                </c:pt>
                <c:pt idx="6">
                  <c:v>Flowers</c:v>
                </c:pt>
                <c:pt idx="7">
                  <c:v>Decor</c:v>
                </c:pt>
                <c:pt idx="8">
                  <c:v>Entertainment</c:v>
                </c:pt>
                <c:pt idx="9">
                  <c:v>Music</c:v>
                </c:pt>
                <c:pt idx="10">
                  <c:v>Transportation</c:v>
                </c:pt>
                <c:pt idx="11">
                  <c:v>Invitations</c:v>
                </c:pt>
                <c:pt idx="12">
                  <c:v>Stationery</c:v>
                </c:pt>
                <c:pt idx="13">
                  <c:v>Cake</c:v>
                </c:pt>
                <c:pt idx="14">
                  <c:v>Rings</c:v>
                </c:pt>
                <c:pt idx="15">
                  <c:v>Rentals</c:v>
                </c:pt>
                <c:pt idx="16">
                  <c:v>Accommodation</c:v>
                </c:pt>
                <c:pt idx="17">
                  <c:v>Gifts</c:v>
                </c:pt>
                <c:pt idx="18">
                  <c:v>Honeymoon</c:v>
                </c:pt>
                <c:pt idx="19">
                  <c:v>Miscellaneous</c:v>
                </c:pt>
              </c:strCache>
            </c:strRef>
          </c:cat>
          <c:val>
            <c:numRef>
              <c:f>Lists!$X$2:$X$21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60"/>
        <c:overlap val="0"/>
        <c:axId val="93846081"/>
        <c:axId val="32085715"/>
      </c:barChart>
      <c:catAx>
        <c:axId val="938460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85715"/>
        <c:crosses val="autoZero"/>
        <c:auto val="1"/>
        <c:lblAlgn val="ctr"/>
        <c:lblOffset val="100"/>
        <c:noMultiLvlLbl val="0"/>
      </c:catAx>
      <c:valAx>
        <c:axId val="32085715"/>
        <c:scaling>
          <c:orientation val="minMax"/>
        </c:scaling>
        <c:delete val="0"/>
        <c:axPos val="l"/>
        <c:numFmt formatCode="\$#,##0;[RED]&quot;-$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460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c98f91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c98f91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8b5a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b89b5e"/>
              </a:solidFill>
              <a:ln w="0">
                <a:noFill/>
              </a:ln>
            </c:spPr>
          </c:dPt>
          <c:dPt>
            <c:idx val="3"/>
            <c:spPr>
              <a:solidFill>
                <a:srgbClr val="d9b8b4"/>
              </a:solidFill>
              <a:ln w="0">
                <a:noFill/>
              </a:ln>
            </c:spPr>
          </c:dPt>
          <c:dPt>
            <c:idx val="4"/>
            <c:spPr>
              <a:solidFill>
                <a:srgbClr val="c7d2c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2bc8b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d646b"/>
              </a:solidFill>
              <a:ln w="0">
                <a:noFill/>
              </a:ln>
            </c:spPr>
          </c:dPt>
          <c:dPt>
            <c:idx val="7"/>
            <c:spPr>
              <a:solidFill>
                <a:srgbClr val="715b52"/>
              </a:solidFill>
              <a:ln w="0">
                <a:noFill/>
              </a:ln>
            </c:spPr>
          </c:dPt>
          <c:dPt>
            <c:idx val="8"/>
            <c:spPr>
              <a:solidFill>
                <a:srgbClr val="c98f91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8b5a0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b89b5e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d9b8b4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c7d2c0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d2bc8b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9d646b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715b52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c98f91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a8b5a0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b89b5e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d9b8b4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Lists!$F$2:$F$21</c:f>
              <c:strCache>
                <c:ptCount val="20"/>
                <c:pt idx="0">
                  <c:v>Venue</c:v>
                </c:pt>
                <c:pt idx="1">
                  <c:v>Catering</c:v>
                </c:pt>
                <c:pt idx="2">
                  <c:v>Photography</c:v>
                </c:pt>
                <c:pt idx="3">
                  <c:v>Videography</c:v>
                </c:pt>
                <c:pt idx="4">
                  <c:v>Attire</c:v>
                </c:pt>
                <c:pt idx="5">
                  <c:v>Beauty</c:v>
                </c:pt>
                <c:pt idx="6">
                  <c:v>Flowers</c:v>
                </c:pt>
                <c:pt idx="7">
                  <c:v>Decor</c:v>
                </c:pt>
                <c:pt idx="8">
                  <c:v>Entertainment</c:v>
                </c:pt>
                <c:pt idx="9">
                  <c:v>Music</c:v>
                </c:pt>
                <c:pt idx="10">
                  <c:v>Transportation</c:v>
                </c:pt>
                <c:pt idx="11">
                  <c:v>Invitations</c:v>
                </c:pt>
                <c:pt idx="12">
                  <c:v>Stationery</c:v>
                </c:pt>
                <c:pt idx="13">
                  <c:v>Cake</c:v>
                </c:pt>
                <c:pt idx="14">
                  <c:v>Rings</c:v>
                </c:pt>
                <c:pt idx="15">
                  <c:v>Rentals</c:v>
                </c:pt>
                <c:pt idx="16">
                  <c:v>Accommodation</c:v>
                </c:pt>
                <c:pt idx="17">
                  <c:v>Gifts</c:v>
                </c:pt>
                <c:pt idx="18">
                  <c:v>Honeymoon</c:v>
                </c:pt>
                <c:pt idx="19">
                  <c:v>Miscellaneous</c:v>
                </c:pt>
              </c:strCache>
            </c:strRef>
          </c:cat>
          <c:val>
            <c:numRef>
              <c:f>Lists!$X$2:$X$21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Paid vs. Remaining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c98f9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Lists!$Y$2:$Y$3</c:f>
              <c:strCache>
                <c:ptCount val="2"/>
                <c:pt idx="0">
                  <c:v>Paid</c:v>
                </c:pt>
                <c:pt idx="1">
                  <c:v>Remaining</c:v>
                </c:pt>
              </c:strCache>
            </c:strRef>
          </c:cat>
          <c:val>
            <c:numRef>
              <c:f>Lists!$Z$2:$Z$3</c:f>
              <c:numCache>
                <c:formatCode>\$#,##0;[RED]"-$"#,##0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60"/>
        <c:overlap val="0"/>
        <c:axId val="22709512"/>
        <c:axId val="89301529"/>
      </c:barChart>
      <c:catAx>
        <c:axId val="22709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01529"/>
        <c:crosses val="autoZero"/>
        <c:auto val="1"/>
        <c:lblAlgn val="ctr"/>
        <c:lblOffset val="100"/>
        <c:noMultiLvlLbl val="0"/>
      </c:catAx>
      <c:valAx>
        <c:axId val="89301529"/>
        <c:scaling>
          <c:orientation val="minMax"/>
        </c:scaling>
        <c:delete val="0"/>
        <c:axPos val="l"/>
        <c:numFmt formatCode="\$#,##0;[RED]&quot;-$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095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Wedding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c98f9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Lists!$AB$2:$AB$6</c:f>
              <c:strCache>
                <c:ptCount val="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</c:strCache>
            </c:strRef>
          </c:cat>
          <c:val>
            <c:numRef>
              <c:f>Lists!$AA$2:$AA$6</c:f>
              <c:numCache>
                <c:formatCode>General</c:formatCode>
                <c:ptCount val="5"/>
              </c:numCache>
            </c:numRef>
          </c:val>
        </c:ser>
        <c:gapWidth val="60"/>
        <c:overlap val="0"/>
        <c:axId val="23509034"/>
        <c:axId val="57989126"/>
      </c:barChart>
      <c:catAx>
        <c:axId val="235090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89126"/>
        <c:crosses val="autoZero"/>
        <c:auto val="1"/>
        <c:lblAlgn val="ctr"/>
        <c:lblOffset val="100"/>
        <c:noMultiLvlLbl val="0"/>
      </c:catAx>
      <c:valAx>
        <c:axId val="5798912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090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RSVP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c98f91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c98f91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8b5a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b89b5e"/>
              </a:solidFill>
              <a:ln w="0">
                <a:noFill/>
              </a:ln>
            </c:spPr>
          </c:dPt>
          <c:dPt>
            <c:idx val="3"/>
            <c:spPr>
              <a:solidFill>
                <a:srgbClr val="d9b8b4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Lists!$A$2:$A$5</c:f>
              <c:strCache>
                <c:ptCount val="4"/>
                <c:pt idx="0">
                  <c:v>Pending</c:v>
                </c:pt>
                <c:pt idx="1">
                  <c:v>Attending</c:v>
                </c:pt>
                <c:pt idx="2">
                  <c:v>Declined</c:v>
                </c:pt>
                <c:pt idx="3">
                  <c:v>Tentative</c:v>
                </c:pt>
              </c:strCache>
            </c:strRef>
          </c:cat>
          <c:val>
            <c:numRef>
              <c:f>Lists!$AC$2:$AC$5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Guest Meal Preferences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98f9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Lists!$G$2:$G$7</c:f>
              <c:strCache>
                <c:ptCount val="6"/>
                <c:pt idx="0">
                  <c:v>Standard</c:v>
                </c:pt>
                <c:pt idx="1">
                  <c:v>Vegetarian</c:v>
                </c:pt>
                <c:pt idx="2">
                  <c:v>Vegan</c:v>
                </c:pt>
                <c:pt idx="3">
                  <c:v>Gluten-Free</c:v>
                </c:pt>
                <c:pt idx="4">
                  <c:v>Kids Meal</c:v>
                </c:pt>
                <c:pt idx="5">
                  <c:v>Other</c:v>
                </c:pt>
              </c:strCache>
            </c:strRef>
          </c:cat>
          <c:val>
            <c:numRef>
              <c:f>Lists!$AD$2:$AD$7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60"/>
        <c:overlap val="0"/>
        <c:axId val="43108835"/>
        <c:axId val="57084111"/>
      </c:barChart>
      <c:catAx>
        <c:axId val="43108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84111"/>
        <c:crosses val="autoZero"/>
        <c:auto val="1"/>
        <c:lblAlgn val="ctr"/>
        <c:lblOffset val="100"/>
        <c:noMultiLvlLbl val="0"/>
      </c:catAx>
      <c:valAx>
        <c:axId val="57084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088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Checklist Completion by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Lists!AE1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c98f9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Lists!$AG$2:$AG$10</c:f>
              <c:strCache>
                <c:ptCount val="9"/>
                <c:pt idx="0">
                  <c:v>12+ Months</c:v>
                </c:pt>
                <c:pt idx="1">
                  <c:v>9-12 Months</c:v>
                </c:pt>
                <c:pt idx="2">
                  <c:v>6-9 Months</c:v>
                </c:pt>
                <c:pt idx="3">
                  <c:v>3-6 Months</c:v>
                </c:pt>
                <c:pt idx="4">
                  <c:v>1-3 Months</c:v>
                </c:pt>
                <c:pt idx="5">
                  <c:v>Final Month</c:v>
                </c:pt>
                <c:pt idx="6">
                  <c:v>Wedding Week</c:v>
                </c:pt>
                <c:pt idx="7">
                  <c:v>Wedding Day</c:v>
                </c:pt>
                <c:pt idx="8">
                  <c:v>Post-Wedding</c:v>
                </c:pt>
              </c:strCache>
            </c:strRef>
          </c:cat>
          <c:val>
            <c:numRef>
              <c:f>Lists!$AE$2:$AE$10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Lists!AF1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rgbClr val="a8b5a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Lists!$AG$2:$AG$10</c:f>
              <c:strCache>
                <c:ptCount val="9"/>
                <c:pt idx="0">
                  <c:v>12+ Months</c:v>
                </c:pt>
                <c:pt idx="1">
                  <c:v>9-12 Months</c:v>
                </c:pt>
                <c:pt idx="2">
                  <c:v>6-9 Months</c:v>
                </c:pt>
                <c:pt idx="3">
                  <c:v>3-6 Months</c:v>
                </c:pt>
                <c:pt idx="4">
                  <c:v>1-3 Months</c:v>
                </c:pt>
                <c:pt idx="5">
                  <c:v>Final Month</c:v>
                </c:pt>
                <c:pt idx="6">
                  <c:v>Wedding Week</c:v>
                </c:pt>
                <c:pt idx="7">
                  <c:v>Wedding Day</c:v>
                </c:pt>
                <c:pt idx="8">
                  <c:v>Post-Wedding</c:v>
                </c:pt>
              </c:strCache>
            </c:strRef>
          </c:cat>
          <c:val>
            <c:numRef>
              <c:f>Lists!$AF$2:$AF$10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60"/>
        <c:overlap val="100"/>
        <c:axId val="14853275"/>
        <c:axId val="62838480"/>
      </c:barChart>
      <c:catAx>
        <c:axId val="148532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38480"/>
        <c:crosses val="autoZero"/>
        <c:auto val="1"/>
        <c:lblAlgn val="ctr"/>
        <c:lblOffset val="100"/>
        <c:noMultiLvlLbl val="0"/>
      </c:catAx>
      <c:valAx>
        <c:axId val="62838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532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Honeymoon: Planned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'Honeymoon Budget'!C5</c:f>
              <c:strCache>
                <c:ptCount val="1"/>
                <c:pt idx="0">
                  <c:v>Planned Budget</c:v>
                </c:pt>
              </c:strCache>
            </c:strRef>
          </c:tx>
          <c:spPr>
            <a:solidFill>
              <a:srgbClr val="c98f9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'Honeymoon Budget'!$B$6:$B$15</c:f>
              <c:strCache>
                <c:ptCount val="1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'Honeymoon Budget'!$C$6:$C$15</c:f>
              <c:numCache>
                <c:formatCode>General</c:formatCode>
                <c:ptCount val="10"/>
              </c:numCache>
            </c:numRef>
          </c:val>
        </c:ser>
        <c:ser>
          <c:idx val="1"/>
          <c:order val="1"/>
          <c:tx>
            <c:strRef>
              <c:f>'Honeymoon Budget'!D5</c:f>
              <c:strCache>
                <c:ptCount val="1"/>
                <c:pt idx="0">
                  <c:v>Actual Cost</c:v>
                </c:pt>
              </c:strCache>
            </c:strRef>
          </c:tx>
          <c:spPr>
            <a:solidFill>
              <a:srgbClr val="a8b5a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'Honeymoon Budget'!$B$6:$B$15</c:f>
              <c:strCache>
                <c:ptCount val="1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'Honeymoon Budget'!$D$6:$D$15</c:f>
              <c:numCache>
                <c:formatCode>General</c:formatCode>
                <c:ptCount val="10"/>
              </c:numCache>
            </c:numRef>
          </c:val>
        </c:ser>
        <c:gapWidth val="60"/>
        <c:overlap val="0"/>
        <c:axId val="93943250"/>
        <c:axId val="31891321"/>
      </c:barChart>
      <c:catAx>
        <c:axId val="939432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91321"/>
        <c:crosses val="autoZero"/>
        <c:auto val="1"/>
        <c:lblAlgn val="ctr"/>
        <c:lblOffset val="100"/>
        <c:noMultiLvlLbl val="0"/>
      </c:catAx>
      <c:valAx>
        <c:axId val="3189132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43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8</xdr:col>
      <xdr:colOff>296640</xdr:colOff>
      <xdr:row>43</xdr:row>
      <xdr:rowOff>11880</xdr:rowOff>
    </xdr:to>
    <xdr:graphicFrame>
      <xdr:nvGraphicFramePr>
        <xdr:cNvPr id="0" name="Chart 1"/>
        <xdr:cNvGraphicFramePr/>
      </xdr:nvGraphicFramePr>
      <xdr:xfrm>
        <a:off x="729000" y="53150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27</xdr:row>
      <xdr:rowOff>0</xdr:rowOff>
    </xdr:from>
    <xdr:to>
      <xdr:col>19</xdr:col>
      <xdr:colOff>296640</xdr:colOff>
      <xdr:row>43</xdr:row>
      <xdr:rowOff>11880</xdr:rowOff>
    </xdr:to>
    <xdr:graphicFrame>
      <xdr:nvGraphicFramePr>
        <xdr:cNvPr id="1" name="Chart 2"/>
        <xdr:cNvGraphicFramePr/>
      </xdr:nvGraphicFramePr>
      <xdr:xfrm>
        <a:off x="8747640" y="53150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8</xdr:col>
      <xdr:colOff>296640</xdr:colOff>
      <xdr:row>63</xdr:row>
      <xdr:rowOff>11520</xdr:rowOff>
    </xdr:to>
    <xdr:graphicFrame>
      <xdr:nvGraphicFramePr>
        <xdr:cNvPr id="2" name="Chart 3"/>
        <xdr:cNvGraphicFramePr/>
      </xdr:nvGraphicFramePr>
      <xdr:xfrm>
        <a:off x="729000" y="91249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47</xdr:row>
      <xdr:rowOff>0</xdr:rowOff>
    </xdr:from>
    <xdr:to>
      <xdr:col>19</xdr:col>
      <xdr:colOff>296640</xdr:colOff>
      <xdr:row>63</xdr:row>
      <xdr:rowOff>11520</xdr:rowOff>
    </xdr:to>
    <xdr:graphicFrame>
      <xdr:nvGraphicFramePr>
        <xdr:cNvPr id="3" name="Chart 4"/>
        <xdr:cNvGraphicFramePr/>
      </xdr:nvGraphicFramePr>
      <xdr:xfrm>
        <a:off x="8747640" y="91249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67</xdr:row>
      <xdr:rowOff>0</xdr:rowOff>
    </xdr:from>
    <xdr:to>
      <xdr:col>8</xdr:col>
      <xdr:colOff>296640</xdr:colOff>
      <xdr:row>83</xdr:row>
      <xdr:rowOff>11520</xdr:rowOff>
    </xdr:to>
    <xdr:graphicFrame>
      <xdr:nvGraphicFramePr>
        <xdr:cNvPr id="4" name="Chart 5"/>
        <xdr:cNvGraphicFramePr/>
      </xdr:nvGraphicFramePr>
      <xdr:xfrm>
        <a:off x="729000" y="129348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0</xdr:colOff>
      <xdr:row>67</xdr:row>
      <xdr:rowOff>0</xdr:rowOff>
    </xdr:from>
    <xdr:to>
      <xdr:col>19</xdr:col>
      <xdr:colOff>296640</xdr:colOff>
      <xdr:row>83</xdr:row>
      <xdr:rowOff>11520</xdr:rowOff>
    </xdr:to>
    <xdr:graphicFrame>
      <xdr:nvGraphicFramePr>
        <xdr:cNvPr id="5" name="Chart 6"/>
        <xdr:cNvGraphicFramePr/>
      </xdr:nvGraphicFramePr>
      <xdr:xfrm>
        <a:off x="8747640" y="129348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87</xdr:row>
      <xdr:rowOff>0</xdr:rowOff>
    </xdr:from>
    <xdr:to>
      <xdr:col>8</xdr:col>
      <xdr:colOff>296640</xdr:colOff>
      <xdr:row>103</xdr:row>
      <xdr:rowOff>11880</xdr:rowOff>
    </xdr:to>
    <xdr:graphicFrame>
      <xdr:nvGraphicFramePr>
        <xdr:cNvPr id="6" name="Chart 7"/>
        <xdr:cNvGraphicFramePr/>
      </xdr:nvGraphicFramePr>
      <xdr:xfrm>
        <a:off x="729000" y="167450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12</xdr:col>
      <xdr:colOff>0</xdr:colOff>
      <xdr:row>87</xdr:row>
      <xdr:rowOff>0</xdr:rowOff>
    </xdr:from>
    <xdr:to>
      <xdr:col>19</xdr:col>
      <xdr:colOff>296640</xdr:colOff>
      <xdr:row>103</xdr:row>
      <xdr:rowOff>11880</xdr:rowOff>
    </xdr:to>
    <xdr:graphicFrame>
      <xdr:nvGraphicFramePr>
        <xdr:cNvPr id="7" name="Chart 8"/>
        <xdr:cNvGraphicFramePr/>
      </xdr:nvGraphicFramePr>
      <xdr:xfrm>
        <a:off x="8747640" y="167450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udgetTable" displayName="BudgetTable" ref="B5:N35" headerRowCount="1" totalsRowCount="0" totalsRowShown="0">
  <autoFilter ref="B5:N35"/>
  <tableColumns count="13">
    <tableColumn id="1" name="Category"/>
    <tableColumn id="2" name="Subcategory"/>
    <tableColumn id="3" name="Item / Description"/>
    <tableColumn id="4" name="Vendor"/>
    <tableColumn id="5" name="Planned Budget"/>
    <tableColumn id="6" name="Actual Cost"/>
    <tableColumn id="7" name="Difference"/>
    <tableColumn id="8" name="Deposit"/>
    <tableColumn id="9" name="Amount Paid"/>
    <tableColumn id="10" name="Amount Remaining"/>
    <tableColumn id="11" name="Due Date"/>
    <tableColumn id="12" name="Payment Status"/>
    <tableColumn id="13" name="Notes"/>
  </tableColumns>
</table>
</file>

<file path=xl/tables/table2.xml><?xml version="1.0" encoding="utf-8"?>
<table xmlns="http://schemas.openxmlformats.org/spreadsheetml/2006/main" id="2" name="ChecklistTable" displayName="ChecklistTable" ref="B5:I65" headerRowCount="1" totalsRowCount="0" totalsRowShown="0">
  <autoFilter ref="B5:I65"/>
  <tableColumns count="8">
    <tableColumn id="1" name="Period"/>
    <tableColumn id="2" name="Task"/>
    <tableColumn id="3" name="Category"/>
    <tableColumn id="4" name="Priority"/>
    <tableColumn id="5" name="Owner"/>
    <tableColumn id="6" name="Due Date"/>
    <tableColumn id="7" name="Status"/>
    <tableColumn id="8" name="Notes"/>
  </tableColumns>
</table>
</file>

<file path=xl/tables/table3.xml><?xml version="1.0" encoding="utf-8"?>
<table xmlns="http://schemas.openxmlformats.org/spreadsheetml/2006/main" id="3" name="ContactsTable" displayName="ContactsTable" ref="B5:J25" headerRowCount="1" totalsRowCount="0" totalsRowShown="0">
  <autoFilter ref="B5:J25"/>
  <tableColumns count="9">
    <tableColumn id="1" name="Name"/>
    <tableColumn id="2" name="Company"/>
    <tableColumn id="3" name="Category"/>
    <tableColumn id="4" name="Role"/>
    <tableColumn id="5" name="Phone"/>
    <tableColumn id="6" name="Email"/>
    <tableColumn id="7" name="Website"/>
    <tableColumn id="8" name="Address"/>
    <tableColumn id="9" name="Notes"/>
  </tableColumns>
</table>
</file>

<file path=xl/tables/table4.xml><?xml version="1.0" encoding="utf-8"?>
<table xmlns="http://schemas.openxmlformats.org/spreadsheetml/2006/main" id="4" name="FoodTable" displayName="FoodTable" ref="B5:I29" headerRowCount="1" totalsRowCount="0" totalsRowShown="0">
  <autoFilter ref="B5:I29"/>
  <tableColumns count="8">
    <tableColumn id="1" name="Catering Vendor"/>
    <tableColumn id="2" name="Menu Item"/>
    <tableColumn id="3" name="Category"/>
    <tableColumn id="4" name="Quantity"/>
    <tableColumn id="5" name="Price"/>
    <tableColumn id="6" name="Total"/>
    <tableColumn id="7" name="Dietary Notes"/>
    <tableColumn id="8" name="Notes"/>
  </tableColumns>
</table>
</file>

<file path=xl/tables/table5.xml><?xml version="1.0" encoding="utf-8"?>
<table xmlns="http://schemas.openxmlformats.org/spreadsheetml/2006/main" id="5" name="GiftTable" displayName="GiftTable" ref="B5:H33" headerRowCount="1" totalsRowCount="0" totalsRowShown="0">
  <autoFilter ref="B5:H33"/>
  <tableColumns count="7">
    <tableColumn id="1" name="Guest Name"/>
    <tableColumn id="2" name="Gift"/>
    <tableColumn id="3" name="Gift Type"/>
    <tableColumn id="4" name="Value"/>
    <tableColumn id="5" name="Thank You Sent"/>
    <tableColumn id="6" name="Date Received"/>
    <tableColumn id="7" name="Notes"/>
  </tableColumns>
</table>
</file>

<file path=xl/tables/table6.xml><?xml version="1.0" encoding="utf-8"?>
<table xmlns="http://schemas.openxmlformats.org/spreadsheetml/2006/main" id="6" name="GuestTable" displayName="GuestTable" ref="B5:P65" headerRowCount="1" totalsRowCount="0" totalsRowShown="0">
  <autoFilter ref="B5:P65"/>
  <tableColumns count="15">
    <tableColumn id="1" name="Guest Name"/>
    <tableColumn id="2" name="Household / Group"/>
    <tableColumn id="3" name="Side"/>
    <tableColumn id="4" name="Relationship"/>
    <tableColumn id="5" name="Email"/>
    <tableColumn id="6" name="Phone"/>
    <tableColumn id="7" name="Invitation Sent"/>
    <tableColumn id="8" name="RSVP Status"/>
    <tableColumn id="9" name="Plus One"/>
    <tableColumn id="10" name="Plus One Name"/>
    <tableColumn id="11" name="Meal Preference"/>
    <tableColumn id="12" name="Dietary Restrictions"/>
    <tableColumn id="13" name="Children Attending"/>
    <tableColumn id="14" name="Table Number"/>
    <tableColumn id="15" name="Notes"/>
  </tableColumns>
</table>
</file>

<file path=xl/tables/table7.xml><?xml version="1.0" encoding="utf-8"?>
<table xmlns="http://schemas.openxmlformats.org/spreadsheetml/2006/main" id="7" name="HoneymoonTable" displayName="HoneymoonTable" ref="B5:I15" headerRowCount="1" totalsRowCount="0" totalsRowShown="0">
  <autoFilter ref="B5:I15"/>
  <tableColumns count="8">
    <tableColumn id="1" name="Category"/>
    <tableColumn id="2" name="Planned Budget"/>
    <tableColumn id="3" name="Actual Cost"/>
    <tableColumn id="4" name="Difference"/>
    <tableColumn id="5" name="Amount Paid"/>
    <tableColumn id="6" name="Remaining"/>
    <tableColumn id="7" name="Due Date"/>
    <tableColumn id="8" name="Notes"/>
  </tableColumns>
</table>
</file>

<file path=xl/tables/table8.xml><?xml version="1.0" encoding="utf-8"?>
<table xmlns="http://schemas.openxmlformats.org/spreadsheetml/2006/main" id="8" name="PaymentsTable" displayName="PaymentsTable" ref="B5:K29" headerRowCount="1" totalsRowCount="0" totalsRowShown="0">
  <autoFilter ref="B5:K29"/>
  <tableColumns count="10">
    <tableColumn id="1" name="Vendor"/>
    <tableColumn id="2" name="Expense"/>
    <tableColumn id="3" name="Total Cost"/>
    <tableColumn id="4" name="Deposit"/>
    <tableColumn id="5" name="Amount Paid"/>
    <tableColumn id="6" name="Remaining"/>
    <tableColumn id="7" name="Due Date"/>
    <tableColumn id="8" name="Payment Status"/>
    <tableColumn id="9" name="Payment Method"/>
    <tableColumn id="10" name="Notes"/>
  </tableColumns>
</table>
</file>

<file path=xl/tables/table9.xml><?xml version="1.0" encoding="utf-8"?>
<table xmlns="http://schemas.openxmlformats.org/spreadsheetml/2006/main" id="9" name="TimelineTable" displayName="TimelineTable" ref="B5:G21" headerRowCount="1" totalsRowCount="0" totalsRowShown="0">
  <autoFilter ref="B5:G21"/>
  <tableColumns count="6">
    <tableColumn id="1" name="Time"/>
    <tableColumn id="2" name="Event"/>
    <tableColumn id="3" name="Location"/>
    <tableColumn id="4" name="Person Responsible"/>
    <tableColumn id="5" name="Vendor"/>
    <tableColumn id="6" name="Notes"/>
  </tableColumns>
</table>
</file>

<file path=xl/tables/table10.xml><?xml version="1.0" encoding="utf-8"?>
<table xmlns="http://schemas.openxmlformats.org/spreadsheetml/2006/main" id="10" name="VendorsTable" displayName="VendorsTable" ref="B5:P31" headerRowCount="1" totalsRowCount="0" totalsRowShown="0">
  <autoFilter ref="B5:P31"/>
  <tableColumns count="15">
    <tableColumn id="1" name="Vendor Name"/>
    <tableColumn id="2" name="Category"/>
    <tableColumn id="3" name="Contact Person"/>
    <tableColumn id="4" name="Phone"/>
    <tableColumn id="5" name="Email"/>
    <tableColumn id="6" name="Website"/>
    <tableColumn id="7" name="Quote"/>
    <tableColumn id="8" name="Final Cost"/>
    <tableColumn id="9" name="Deposit"/>
    <tableColumn id="10" name="Remaining"/>
    <tableColumn id="11" name="Contract Status"/>
    <tableColumn id="12" name="Payment Status"/>
    <tableColumn id="13" name="Due Date"/>
    <tableColumn id="14" name="Rating"/>
    <tableColumn id="15" name="Notes"/>
  </tableColumns>
</table>
</file>

<file path=xl/tables/table11.xml><?xml version="1.0" encoding="utf-8"?>
<table xmlns="http://schemas.openxmlformats.org/spreadsheetml/2006/main" id="11" name="VenueTable" displayName="VenueTable" ref="B5:N15" headerRowCount="1" totalsRowCount="0" totalsRowShown="0">
  <autoFilter ref="B5:N15"/>
  <tableColumns count="13">
    <tableColumn id="1" name="Venue"/>
    <tableColumn id="2" name="Location"/>
    <tableColumn id="3" name="Capacity"/>
    <tableColumn id="4" name="Rental Cost"/>
    <tableColumn id="5" name="Catering Cost"/>
    <tableColumn id="6" name="Deposit"/>
    <tableColumn id="7" name="Availability"/>
    <tableColumn id="8" name="Ceremony Included"/>
    <tableColumn id="9" name="Reception Included"/>
    <tableColumn id="10" name="Parking"/>
    <tableColumn id="11" name="Accommodation"/>
    <tableColumn id="12" name="Rating"/>
    <tableColumn id="13" name="Notes"/>
  </tableColumns>
</table>
</file>

<file path=xl/tables/table12.xml><?xml version="1.0" encoding="utf-8"?>
<table xmlns="http://schemas.openxmlformats.org/spreadsheetml/2006/main" id="12" name="WeddingPartyTable" displayName="WeddingPartyTable" ref="B5:I17" headerRowCount="1" totalsRowCount="0" totalsRowShown="0">
  <autoFilter ref="B5:I17"/>
  <tableColumns count="8">
    <tableColumn id="1" name="Name"/>
    <tableColumn id="2" name="Role"/>
    <tableColumn id="3" name="Side"/>
    <tableColumn id="4" name="Phone"/>
    <tableColumn id="5" name="Email"/>
    <tableColumn id="6" name="Responsibilities"/>
    <tableColumn id="7" name="Attire"/>
    <tableColumn id="8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hyperlink" Target="Premium_Wedding_Planner_BLANK.xlsx" TargetMode="External"/><Relationship Id="rId3" Type="http://schemas.openxmlformats.org/officeDocument/2006/relationships/hyperlink" Target="Premium_Wedding_Planner_BLANK.xlsx" TargetMode="External"/><Relationship Id="rId4" Type="http://schemas.openxmlformats.org/officeDocument/2006/relationships/hyperlink" Target="Premium_Wedding_Planner_BLANK.xlsx" TargetMode="External"/><Relationship Id="rId5" Type="http://schemas.openxmlformats.org/officeDocument/2006/relationships/hyperlink" Target="Premium_Wedding_Planner_BLANK.xlsx" TargetMode="External"/><Relationship Id="rId6" Type="http://schemas.openxmlformats.org/officeDocument/2006/relationships/hyperlink" Target="Premium_Wedding_Planner_BLANK.xlsx" TargetMode="External"/><Relationship Id="rId7" Type="http://schemas.openxmlformats.org/officeDocument/2006/relationships/hyperlink" Target="Premium_Wedding_Planner_BLANK.xlsx" TargetMode="External"/><Relationship Id="rId8" Type="http://schemas.openxmlformats.org/officeDocument/2006/relationships/hyperlink" Target="Premium_Wedding_Planner_BLANK.xlsx" TargetMode="External"/><Relationship Id="rId9" Type="http://schemas.openxmlformats.org/officeDocument/2006/relationships/hyperlink" Target="Premium_Wedding_Planner_BLANK.xlsx" TargetMode="External"/><Relationship Id="rId10" Type="http://schemas.openxmlformats.org/officeDocument/2006/relationships/hyperlink" Target="Premium_Wedding_Planner_BLANK.xlsx" TargetMode="External"/><Relationship Id="rId11" Type="http://schemas.openxmlformats.org/officeDocument/2006/relationships/hyperlink" Target="Premium_Wedding_Planner_BLANK.xlsx" TargetMode="External"/><Relationship Id="rId12" Type="http://schemas.openxmlformats.org/officeDocument/2006/relationships/hyperlink" Target="Premium_Wedding_Planner_BLANK.xlsx" TargetMode="External"/><Relationship Id="rId13" Type="http://schemas.openxmlformats.org/officeDocument/2006/relationships/hyperlink" Target="Premium_Wedding_Planner_BLANK.xlsx" TargetMode="External"/><Relationship Id="rId14" Type="http://schemas.openxmlformats.org/officeDocument/2006/relationships/hyperlink" Target="Premium_Wedding_Planner_BLANK.xlsx" TargetMode="External"/><Relationship Id="rId15" Type="http://schemas.openxmlformats.org/officeDocument/2006/relationships/hyperlink" Target="Premium_Wedding_Planner_BLANK.xlsx" TargetMode="External"/><Relationship Id="rId16" Type="http://schemas.openxmlformats.org/officeDocument/2006/relationships/hyperlink" Target="Premium_Wedding_Planner_BLANK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hyperlink" Target="Premium_Wedding_Planner_BLANK.xlsx" TargetMode="External"/><Relationship Id="rId3" Type="http://schemas.openxmlformats.org/officeDocument/2006/relationships/drawing" Target="../drawings/drawing2.xml"/><Relationship Id="rId4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hyperlink" Target="Premium_Wedding_Planner_BLANK.xlsx" TargetMode="External"/><Relationship Id="rId3" Type="http://schemas.openxmlformats.org/officeDocument/2006/relationships/drawing" Target="../drawings/drawing3.xml"/><Relationship Id="rId4" Type="http://schemas.openxmlformats.org/officeDocument/2006/relationships/table" Target="../tables/table10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hyperlink" Target="Premium_Wedding_Planner_BLANK.xlsx" TargetMode="External"/><Relationship Id="rId3" Type="http://schemas.openxmlformats.org/officeDocument/2006/relationships/drawing" Target="../drawings/drawing4.xml"/><Relationship Id="rId4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hyperlink" Target="Premium_Wedding_Planner_BLANK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hyperlink" Target="Premium_Wedding_Planner_BLANK.xlsx" TargetMode="External"/><Relationship Id="rId3" Type="http://schemas.openxmlformats.org/officeDocument/2006/relationships/drawing" Target="../drawings/drawing5.xml"/><Relationship Id="rId4" Type="http://schemas.openxmlformats.org/officeDocument/2006/relationships/table" Target="../tables/table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hyperlink" Target="Premium_Wedding_Planner_BLANK.xlsx" TargetMode="External"/><Relationship Id="rId3" Type="http://schemas.openxmlformats.org/officeDocument/2006/relationships/drawing" Target="../drawings/drawing6.xml"/><Relationship Id="rId4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hyperlink" Target="Premium_Wedding_Planner_BLANK.xlsx" TargetMode="External"/><Relationship Id="rId3" Type="http://schemas.openxmlformats.org/officeDocument/2006/relationships/drawing" Target="../drawings/drawing7.xml"/><Relationship Id="rId4" Type="http://schemas.openxmlformats.org/officeDocument/2006/relationships/table" Target="../tables/table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hyperlink" Target="Premium_Wedding_Planner_BLANK.xlsx" TargetMode="External"/><Relationship Id="rId3" Type="http://schemas.openxmlformats.org/officeDocument/2006/relationships/drawing" Target="../drawings/drawing8.xml"/><Relationship Id="rId4" Type="http://schemas.openxmlformats.org/officeDocument/2006/relationships/table" Target="../tables/table1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hyperlink" Target="Premium_Wedding_Planner_BLANK.xlsx" TargetMode="External"/><Relationship Id="rId3" Type="http://schemas.openxmlformats.org/officeDocument/2006/relationships/drawing" Target="../drawings/drawing9.xml"/><Relationship Id="rId4" Type="http://schemas.openxmlformats.org/officeDocument/2006/relationships/table" Target="../tables/table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hyperlink" Target="Premium_Wedding_Planner_BLANK.xlsx" TargetMode="External"/><Relationship Id="rId3" Type="http://schemas.openxmlformats.org/officeDocument/2006/relationships/drawing" Target="../drawings/drawing10.xml"/><Relationship Id="rId4" Type="http://schemas.openxmlformats.org/officeDocument/2006/relationships/table" Target="../tables/table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hyperlink" Target="Premium_Wedding_Planner_BLANK.xlsx" TargetMode="External"/><Relationship Id="rId3" Type="http://schemas.openxmlformats.org/officeDocument/2006/relationships/drawing" Target="../drawings/drawing11.xml"/><Relationship Id="rId4" Type="http://schemas.openxmlformats.org/officeDocument/2006/relationships/table" Target="../tables/table7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hyperlink" Target="Premium_Wedding_Planner_BLANK.xlsx" TargetMode="External"/><Relationship Id="rId3" Type="http://schemas.openxmlformats.org/officeDocument/2006/relationships/drawing" Target="../drawings/drawing12.xml"/><Relationship Id="rId4" Type="http://schemas.openxmlformats.org/officeDocument/2006/relationships/table" Target="../tables/table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hyperlink" Target="Premium_Wedding_Planner_BLANK.xlsx" TargetMode="External"/><Relationship Id="rId3" Type="http://schemas.openxmlformats.org/officeDocument/2006/relationships/drawing" Target="../drawings/drawing13.xml"/><Relationship Id="rId4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Premium_Wedding_Planner_BLANK.xlsx" TargetMode="External"/><Relationship Id="rId2" Type="http://schemas.openxmlformats.org/officeDocument/2006/relationships/hyperlink" Target="Premium_Wedding_Planner_BLANK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9B5E"/>
    <pageSetUpPr fitToPage="tru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8" min="3" style="0" width="13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3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</row>
    <row r="6" customFormat="false" ht="15" hidden="false" customHeight="false" outlineLevel="0" collapsed="false">
      <c r="B6" s="5" t="s">
        <v>2</v>
      </c>
      <c r="C6" s="5"/>
      <c r="D6" s="5"/>
      <c r="E6" s="5"/>
      <c r="F6" s="5"/>
      <c r="G6" s="5"/>
      <c r="H6" s="5"/>
    </row>
    <row r="7" customFormat="false" ht="18" hidden="false" customHeight="true" outlineLevel="0" collapsed="false">
      <c r="B7" s="6" t="s">
        <v>3</v>
      </c>
      <c r="C7" s="6"/>
      <c r="D7" s="6"/>
      <c r="E7" s="6"/>
      <c r="F7" s="6"/>
      <c r="G7" s="6"/>
      <c r="H7" s="6"/>
    </row>
    <row r="8" customFormat="false" ht="18" hidden="false" customHeight="true" outlineLevel="0" collapsed="false">
      <c r="B8" s="6" t="s">
        <v>4</v>
      </c>
      <c r="C8" s="6"/>
      <c r="D8" s="6"/>
      <c r="E8" s="6"/>
      <c r="F8" s="6"/>
      <c r="G8" s="6"/>
      <c r="H8" s="6"/>
    </row>
    <row r="9" customFormat="false" ht="18" hidden="false" customHeight="true" outlineLevel="0" collapsed="false">
      <c r="B9" s="6" t="s">
        <v>5</v>
      </c>
      <c r="C9" s="6"/>
      <c r="D9" s="6"/>
      <c r="E9" s="6"/>
      <c r="F9" s="6"/>
      <c r="G9" s="6"/>
      <c r="H9" s="6"/>
    </row>
    <row r="10" customFormat="false" ht="18" hidden="false" customHeight="true" outlineLevel="0" collapsed="false">
      <c r="B10" s="6" t="s">
        <v>6</v>
      </c>
      <c r="C10" s="6"/>
      <c r="D10" s="6"/>
      <c r="E10" s="6"/>
      <c r="F10" s="6"/>
      <c r="G10" s="6"/>
      <c r="H10" s="6"/>
    </row>
    <row r="11" customFormat="false" ht="18" hidden="false" customHeight="true" outlineLevel="0" collapsed="false">
      <c r="B11" s="6" t="s">
        <v>7</v>
      </c>
      <c r="C11" s="6"/>
      <c r="D11" s="6"/>
      <c r="E11" s="6"/>
      <c r="F11" s="6"/>
      <c r="G11" s="6"/>
      <c r="H11" s="6"/>
    </row>
    <row r="12" customFormat="false" ht="18" hidden="false" customHeight="true" outlineLevel="0" collapsed="false">
      <c r="B12" s="6" t="s">
        <v>8</v>
      </c>
      <c r="C12" s="6"/>
      <c r="D12" s="6"/>
      <c r="E12" s="6"/>
      <c r="F12" s="6"/>
      <c r="G12" s="6"/>
      <c r="H12" s="6"/>
    </row>
    <row r="14" customFormat="false" ht="15" hidden="false" customHeight="false" outlineLevel="0" collapsed="false">
      <c r="B14" s="5" t="s">
        <v>9</v>
      </c>
      <c r="C14" s="5"/>
      <c r="D14" s="5"/>
      <c r="E14" s="5"/>
      <c r="F14" s="5"/>
      <c r="G14" s="5"/>
      <c r="H14" s="5"/>
    </row>
    <row r="15" customFormat="false" ht="15.75" hidden="false" customHeight="true" outlineLevel="0" collapsed="false">
      <c r="B15" s="7" t="s">
        <v>10</v>
      </c>
      <c r="D15" s="8" t="s">
        <v>11</v>
      </c>
      <c r="E15" s="8"/>
      <c r="F15" s="8"/>
      <c r="G15" s="8"/>
      <c r="H15" s="8"/>
    </row>
    <row r="16" customFormat="false" ht="15.75" hidden="false" customHeight="true" outlineLevel="0" collapsed="false">
      <c r="B16" s="7" t="s">
        <v>12</v>
      </c>
      <c r="D16" s="8" t="s">
        <v>13</v>
      </c>
      <c r="E16" s="8"/>
      <c r="F16" s="8"/>
      <c r="G16" s="8"/>
      <c r="H16" s="8"/>
    </row>
    <row r="17" customFormat="false" ht="15.75" hidden="false" customHeight="true" outlineLevel="0" collapsed="false">
      <c r="B17" s="7" t="s">
        <v>14</v>
      </c>
      <c r="D17" s="8" t="s">
        <v>15</v>
      </c>
      <c r="E17" s="8"/>
      <c r="F17" s="8"/>
      <c r="G17" s="8"/>
      <c r="H17" s="8"/>
    </row>
    <row r="18" customFormat="false" ht="15.75" hidden="false" customHeight="true" outlineLevel="0" collapsed="false">
      <c r="B18" s="7" t="s">
        <v>16</v>
      </c>
      <c r="D18" s="8" t="s">
        <v>17</v>
      </c>
      <c r="E18" s="8"/>
      <c r="F18" s="8"/>
      <c r="G18" s="8"/>
      <c r="H18" s="8"/>
    </row>
    <row r="19" customFormat="false" ht="15.75" hidden="false" customHeight="true" outlineLevel="0" collapsed="false">
      <c r="B19" s="7" t="s">
        <v>18</v>
      </c>
      <c r="D19" s="8" t="s">
        <v>19</v>
      </c>
      <c r="E19" s="8"/>
      <c r="F19" s="8"/>
      <c r="G19" s="8"/>
      <c r="H19" s="8"/>
    </row>
    <row r="20" customFormat="false" ht="15.75" hidden="false" customHeight="true" outlineLevel="0" collapsed="false">
      <c r="B20" s="7" t="s">
        <v>20</v>
      </c>
      <c r="D20" s="8" t="s">
        <v>21</v>
      </c>
      <c r="E20" s="8"/>
      <c r="F20" s="8"/>
      <c r="G20" s="8"/>
      <c r="H20" s="8"/>
    </row>
    <row r="21" customFormat="false" ht="15.75" hidden="false" customHeight="true" outlineLevel="0" collapsed="false">
      <c r="B21" s="7" t="s">
        <v>22</v>
      </c>
      <c r="D21" s="8" t="s">
        <v>23</v>
      </c>
      <c r="E21" s="8"/>
      <c r="F21" s="8"/>
      <c r="G21" s="8"/>
      <c r="H21" s="8"/>
    </row>
    <row r="22" customFormat="false" ht="15.75" hidden="false" customHeight="true" outlineLevel="0" collapsed="false">
      <c r="B22" s="7" t="s">
        <v>24</v>
      </c>
      <c r="D22" s="8" t="s">
        <v>25</v>
      </c>
      <c r="E22" s="8"/>
      <c r="F22" s="8"/>
      <c r="G22" s="8"/>
      <c r="H22" s="8"/>
    </row>
    <row r="23" customFormat="false" ht="15.75" hidden="false" customHeight="true" outlineLevel="0" collapsed="false">
      <c r="B23" s="7" t="s">
        <v>26</v>
      </c>
      <c r="D23" s="8" t="s">
        <v>27</v>
      </c>
      <c r="E23" s="8"/>
      <c r="F23" s="8"/>
      <c r="G23" s="8"/>
      <c r="H23" s="8"/>
    </row>
    <row r="24" customFormat="false" ht="15.75" hidden="false" customHeight="true" outlineLevel="0" collapsed="false">
      <c r="B24" s="7" t="s">
        <v>28</v>
      </c>
      <c r="D24" s="8" t="s">
        <v>29</v>
      </c>
      <c r="E24" s="8"/>
      <c r="F24" s="8"/>
      <c r="G24" s="8"/>
      <c r="H24" s="8"/>
    </row>
    <row r="25" customFormat="false" ht="15.75" hidden="false" customHeight="true" outlineLevel="0" collapsed="false">
      <c r="B25" s="7" t="s">
        <v>30</v>
      </c>
      <c r="D25" s="8" t="s">
        <v>31</v>
      </c>
      <c r="E25" s="8"/>
      <c r="F25" s="8"/>
      <c r="G25" s="8"/>
      <c r="H25" s="8"/>
    </row>
    <row r="26" customFormat="false" ht="15.75" hidden="false" customHeight="true" outlineLevel="0" collapsed="false">
      <c r="B26" s="7" t="s">
        <v>32</v>
      </c>
      <c r="D26" s="8" t="s">
        <v>33</v>
      </c>
      <c r="E26" s="8"/>
      <c r="F26" s="8"/>
      <c r="G26" s="8"/>
      <c r="H26" s="8"/>
    </row>
    <row r="27" customFormat="false" ht="15.75" hidden="false" customHeight="true" outlineLevel="0" collapsed="false">
      <c r="B27" s="7" t="s">
        <v>34</v>
      </c>
      <c r="D27" s="8" t="s">
        <v>35</v>
      </c>
      <c r="E27" s="8"/>
      <c r="F27" s="8"/>
      <c r="G27" s="8"/>
      <c r="H27" s="8"/>
    </row>
    <row r="28" customFormat="false" ht="15.75" hidden="false" customHeight="true" outlineLevel="0" collapsed="false">
      <c r="B28" s="7" t="s">
        <v>36</v>
      </c>
      <c r="D28" s="8" t="s">
        <v>37</v>
      </c>
      <c r="E28" s="8"/>
      <c r="F28" s="8"/>
      <c r="G28" s="8"/>
      <c r="H28" s="8"/>
    </row>
    <row r="29" customFormat="false" ht="15.75" hidden="false" customHeight="true" outlineLevel="0" collapsed="false">
      <c r="B29" s="7" t="s">
        <v>38</v>
      </c>
      <c r="D29" s="8" t="s">
        <v>39</v>
      </c>
      <c r="E29" s="8"/>
      <c r="F29" s="8"/>
      <c r="G29" s="8"/>
      <c r="H29" s="8"/>
    </row>
    <row r="30" customFormat="false" ht="15.75" hidden="false" customHeight="true" outlineLevel="0" collapsed="false">
      <c r="B30" s="7" t="s">
        <v>40</v>
      </c>
      <c r="D30" s="8" t="s">
        <v>41</v>
      </c>
      <c r="E30" s="8"/>
      <c r="F30" s="8"/>
      <c r="G30" s="8"/>
      <c r="H30" s="8"/>
    </row>
  </sheetData>
  <mergeCells count="24">
    <mergeCell ref="B6:H6"/>
    <mergeCell ref="B7:H7"/>
    <mergeCell ref="B8:H8"/>
    <mergeCell ref="B9:H9"/>
    <mergeCell ref="B10:H10"/>
    <mergeCell ref="B11:H11"/>
    <mergeCell ref="B12:H12"/>
    <mergeCell ref="B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</mergeCells>
  <hyperlinks>
    <hyperlink ref="B15" r:id="rId1" location="'Dashboard'!A1" display="Dashboard"/>
    <hyperlink ref="B16" r:id="rId2" location="'Budget'!A1" display="Budget"/>
    <hyperlink ref="B17" r:id="rId3" location="'Vendors'!A1" display="Vendors"/>
    <hyperlink ref="B18" r:id="rId4" location="'Guest%20List'!A1" display="Guest List"/>
    <hyperlink ref="B19" r:id="rId5" location="'Seating%20Plan'!A1" display="Seating Plan"/>
    <hyperlink ref="B20" r:id="rId6" location="'Timeline'!A1" display="Timeline"/>
    <hyperlink ref="B21" r:id="rId7" location="'Master%20Checklist'!A1" display="Master Checklist"/>
    <hyperlink ref="B22" r:id="rId8" location="'Payments'!A1" display="Payments"/>
    <hyperlink ref="B23" r:id="rId9" location="'Wedding%20Party'!A1" display="Wedding Party"/>
    <hyperlink ref="B24" r:id="rId10" location="'Venue%20Comparison'!A1" display="Venue Comparison"/>
    <hyperlink ref="B25" r:id="rId11" location="'Food%20&amp;%20Drinks'!A1" display="Food &amp; Drinks"/>
    <hyperlink ref="B26" r:id="rId12" location="'Honeymoon%20Budget'!A1" display="Honeymoon Budget"/>
    <hyperlink ref="B27" r:id="rId13" location="'Contacts'!A1" display="Contacts"/>
    <hyperlink ref="B28" r:id="rId14" location="'Gift%20Tracker'!A1" display="Gift Tracker"/>
    <hyperlink ref="B29" r:id="rId15" location="'Calendar'!A1" display="Calendar"/>
    <hyperlink ref="B30" r:id="rId16" location="'Settings'!A1" display="Settings"/>
  </hyperlink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9B5E"/>
    <pageSetUpPr fitToPage="true"/>
  </sheetPr>
  <dimension ref="A1:T2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0" min="1" style="0" width="8.2"/>
  </cols>
  <sheetData>
    <row r="1" customFormat="false" ht="6" hidden="false" customHeight="true" outlineLevel="0" collapsed="false">
      <c r="A1" s="9"/>
      <c r="B1" s="10" t="s">
        <v>42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customFormat="false" ht="15.75" hidden="false" customHeight="true" outlineLevel="0" collapsed="false">
      <c r="A2" s="9"/>
      <c r="B2" s="11" t="s">
        <v>43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 t="str">
        <f aca="true">IF(WeddingDate="","—",IF(WeddingDate&gt;=TODAY(),WeddingDate-TODAY()&amp;" DAYS TO GO",TEXT(WeddingDate,"d mmm yyyy")&amp;" ❦ Married!"))</f>
        <v>—</v>
      </c>
      <c r="R2" s="12"/>
      <c r="S2" s="12"/>
      <c r="T2" s="12"/>
    </row>
    <row r="3" customFormat="false" ht="33.75" hidden="false" customHeight="true" outlineLevel="0" collapsed="false">
      <c r="A3" s="9"/>
      <c r="B3" s="13" t="str">
        <f aca="false">IF(Partner1Name="","Partner One",Partner1Name)&amp;"  &amp;  "&amp;IF(Partner2Name="","Partner Two",Partner2Name)</f>
        <v>Partner One  &amp;  Partner Two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2"/>
      <c r="R3" s="12"/>
      <c r="S3" s="12"/>
      <c r="T3" s="12"/>
    </row>
    <row r="4" customFormat="false" ht="18" hidden="false" customHeight="true" outlineLevel="0" collapsed="false">
      <c r="A4" s="9"/>
      <c r="B4" s="14" t="str">
        <f aca="false">IF(WeddingDate="","Wedding date not yet set",TEXT(WeddingDate,"dddd, d mmmm yyyy"))</f>
        <v>Wedding date not yet set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2"/>
      <c r="R4" s="12"/>
      <c r="S4" s="12"/>
      <c r="T4" s="12"/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2"/>
      <c r="R5" s="12"/>
      <c r="S5" s="12"/>
      <c r="T5" s="12"/>
    </row>
    <row r="7" customFormat="false" ht="15" hidden="false" customHeight="false" outlineLevel="0" collapsed="false">
      <c r="B7" s="16" t="s">
        <v>44</v>
      </c>
    </row>
    <row r="8" customFormat="false" ht="15" hidden="false" customHeight="false" outlineLevel="0" collapsed="false">
      <c r="B8" s="17" t="n">
        <f aca="false">TotalBudget</f>
        <v>0</v>
      </c>
      <c r="C8" s="17"/>
      <c r="D8" s="17"/>
      <c r="F8" s="18" t="n">
        <f aca="false">SUM(Budget!G6:G35)</f>
        <v>0</v>
      </c>
      <c r="G8" s="18"/>
      <c r="H8" s="18"/>
      <c r="J8" s="19" t="str">
        <f aca="false">IF(TotalBudget="","",TotalBudget-SUM(Budget!G6:G35))</f>
        <v/>
      </c>
      <c r="K8" s="19"/>
      <c r="L8" s="19"/>
      <c r="N8" s="19" t="n">
        <f aca="false">SUM(Budget!J6:J35)</f>
        <v>0</v>
      </c>
      <c r="O8" s="19"/>
      <c r="P8" s="19"/>
      <c r="R8" s="20" t="n">
        <f aca="false">SUM(Budget!K6:K35)</f>
        <v>0</v>
      </c>
      <c r="S8" s="20"/>
      <c r="T8" s="20"/>
    </row>
    <row r="9" customFormat="false" ht="15" hidden="false" customHeight="false" outlineLevel="0" collapsed="false">
      <c r="B9" s="17"/>
      <c r="C9" s="17"/>
      <c r="D9" s="17"/>
      <c r="F9" s="18"/>
      <c r="G9" s="18"/>
      <c r="H9" s="18"/>
      <c r="J9" s="19"/>
      <c r="K9" s="19"/>
      <c r="L9" s="19"/>
      <c r="N9" s="19"/>
      <c r="O9" s="19"/>
      <c r="P9" s="19"/>
      <c r="R9" s="20"/>
      <c r="S9" s="20"/>
      <c r="T9" s="20"/>
    </row>
    <row r="10" customFormat="false" ht="15" hidden="false" customHeight="false" outlineLevel="0" collapsed="false">
      <c r="B10" s="21" t="s">
        <v>45</v>
      </c>
      <c r="C10" s="21"/>
      <c r="D10" s="21"/>
      <c r="F10" s="21" t="s">
        <v>46</v>
      </c>
      <c r="G10" s="21"/>
      <c r="H10" s="21"/>
      <c r="J10" s="21" t="s">
        <v>47</v>
      </c>
      <c r="K10" s="21"/>
      <c r="L10" s="21"/>
      <c r="N10" s="21" t="s">
        <v>48</v>
      </c>
      <c r="O10" s="21"/>
      <c r="P10" s="21"/>
      <c r="R10" s="21" t="s">
        <v>49</v>
      </c>
      <c r="S10" s="21"/>
      <c r="T10" s="21"/>
    </row>
    <row r="12" customFormat="false" ht="15" hidden="false" customHeight="false" outlineLevel="0" collapsed="false">
      <c r="B12" s="16" t="s">
        <v>50</v>
      </c>
    </row>
    <row r="13" customFormat="false" ht="15" hidden="false" customHeight="false" outlineLevel="0" collapsed="false">
      <c r="B13" s="22" t="n">
        <f aca="false">COUNTA('Guest List'!B6:B65)</f>
        <v>0</v>
      </c>
      <c r="C13" s="22"/>
      <c r="D13" s="22"/>
      <c r="F13" s="23" t="n">
        <f aca="false">COUNTIF('Guest List'!I6:I65,"Attending")</f>
        <v>0</v>
      </c>
      <c r="G13" s="23"/>
      <c r="H13" s="23"/>
      <c r="J13" s="24" t="n">
        <f aca="false">COUNTIF('Guest List'!I6:I65,"Pending")</f>
        <v>0</v>
      </c>
      <c r="K13" s="24"/>
      <c r="L13" s="24"/>
      <c r="N13" s="22" t="n">
        <f aca="false">COUNTIF('Guest List'!I6:I65,"Declined")</f>
        <v>0</v>
      </c>
      <c r="O13" s="22"/>
      <c r="P13" s="22"/>
      <c r="R13" s="25" t="n">
        <f aca="false">COUNTA(Vendors!B6:B31)</f>
        <v>0</v>
      </c>
      <c r="S13" s="25"/>
      <c r="T13" s="25"/>
    </row>
    <row r="14" customFormat="false" ht="15" hidden="false" customHeight="false" outlineLevel="0" collapsed="false">
      <c r="B14" s="22"/>
      <c r="C14" s="22"/>
      <c r="D14" s="22"/>
      <c r="F14" s="23"/>
      <c r="G14" s="23"/>
      <c r="H14" s="23"/>
      <c r="J14" s="24"/>
      <c r="K14" s="24"/>
      <c r="L14" s="24"/>
      <c r="N14" s="22"/>
      <c r="O14" s="22"/>
      <c r="P14" s="22"/>
      <c r="R14" s="25"/>
      <c r="S14" s="25"/>
      <c r="T14" s="25"/>
    </row>
    <row r="15" customFormat="false" ht="15" hidden="false" customHeight="false" outlineLevel="0" collapsed="false">
      <c r="B15" s="21" t="s">
        <v>51</v>
      </c>
      <c r="C15" s="21"/>
      <c r="D15" s="21"/>
      <c r="F15" s="21" t="s">
        <v>52</v>
      </c>
      <c r="G15" s="21"/>
      <c r="H15" s="21"/>
      <c r="J15" s="21" t="s">
        <v>53</v>
      </c>
      <c r="K15" s="21"/>
      <c r="L15" s="21"/>
      <c r="N15" s="21" t="s">
        <v>54</v>
      </c>
      <c r="O15" s="21"/>
      <c r="P15" s="21"/>
      <c r="R15" s="21" t="s">
        <v>55</v>
      </c>
      <c r="S15" s="21"/>
      <c r="T15" s="21"/>
    </row>
    <row r="17" customFormat="false" ht="15" hidden="false" customHeight="false" outlineLevel="0" collapsed="false">
      <c r="B17" s="16" t="s">
        <v>56</v>
      </c>
    </row>
    <row r="18" customFormat="false" ht="15" hidden="false" customHeight="false" outlineLevel="0" collapsed="false">
      <c r="B18" s="26" t="str">
        <f aca="false">IFERROR(COUNTIF('Master Checklist'!H6:H65,"Completed")/(COUNTA('Master Checklist'!C6:C65)),"")</f>
        <v/>
      </c>
      <c r="C18" s="26"/>
      <c r="D18" s="26"/>
      <c r="F18" s="24" t="n">
        <f aca="false">COUNTIFS('Master Checklist'!C6:C65,"&lt;&gt;",'Master Checklist'!H6:H65,"&lt;&gt;Completed")</f>
        <v>0</v>
      </c>
      <c r="G18" s="24"/>
      <c r="H18" s="24"/>
      <c r="J18" s="20" t="n">
        <f aca="false">SUM(Vendors!K6:K31)</f>
        <v>0</v>
      </c>
      <c r="K18" s="20"/>
      <c r="L18" s="20"/>
      <c r="N18" s="17" t="n">
        <f aca="false">HoneymoonBudgetSetting</f>
        <v>0</v>
      </c>
      <c r="O18" s="17"/>
      <c r="P18" s="17"/>
      <c r="R18" s="19" t="n">
        <f aca="false">SUM('Honeymoon Budget'!G6:G15)</f>
        <v>0</v>
      </c>
      <c r="S18" s="19"/>
      <c r="T18" s="19"/>
    </row>
    <row r="19" customFormat="false" ht="15" hidden="false" customHeight="false" outlineLevel="0" collapsed="false">
      <c r="B19" s="26"/>
      <c r="C19" s="26"/>
      <c r="D19" s="26"/>
      <c r="F19" s="24"/>
      <c r="G19" s="24"/>
      <c r="H19" s="24"/>
      <c r="J19" s="20"/>
      <c r="K19" s="20"/>
      <c r="L19" s="20"/>
      <c r="N19" s="17"/>
      <c r="O19" s="17"/>
      <c r="P19" s="17"/>
      <c r="R19" s="19"/>
      <c r="S19" s="19"/>
      <c r="T19" s="19"/>
    </row>
    <row r="20" customFormat="false" ht="15" hidden="false" customHeight="false" outlineLevel="0" collapsed="false">
      <c r="B20" s="21" t="s">
        <v>57</v>
      </c>
      <c r="C20" s="21"/>
      <c r="D20" s="21"/>
      <c r="F20" s="21" t="s">
        <v>58</v>
      </c>
      <c r="G20" s="21"/>
      <c r="H20" s="21"/>
      <c r="J20" s="21" t="s">
        <v>59</v>
      </c>
      <c r="K20" s="21"/>
      <c r="L20" s="21"/>
      <c r="N20" s="21" t="s">
        <v>60</v>
      </c>
      <c r="O20" s="21"/>
      <c r="P20" s="21"/>
      <c r="R20" s="21" t="s">
        <v>61</v>
      </c>
      <c r="S20" s="21"/>
      <c r="T20" s="21"/>
    </row>
    <row r="22" customFormat="false" ht="15" hidden="false" customHeight="false" outlineLevel="0" collapsed="false">
      <c r="B22" s="16" t="s">
        <v>62</v>
      </c>
    </row>
    <row r="23" customFormat="false" ht="15" hidden="false" customHeight="false" outlineLevel="0" collapsed="false">
      <c r="B23" s="22" t="n">
        <f aca="true">COUNTIFS(Payments!H6:H29,"&lt;&gt;",Payments!H6:H29,"&lt;"&amp;TODAY(),Payments!I6:I29,"&lt;&gt;Paid in Full")</f>
        <v>0</v>
      </c>
      <c r="C23" s="22"/>
      <c r="D23" s="22"/>
      <c r="F23" s="24" t="n">
        <f aca="false">COUNTIF('Guest List'!I6:I65,"Pending")</f>
        <v>0</v>
      </c>
      <c r="G23" s="24"/>
      <c r="H23" s="24"/>
      <c r="J23" s="22" t="n">
        <f aca="true">COUNTIFS('Master Checklist'!G6:G65,"&lt;&gt;",'Master Checklist'!G6:G65,"&lt;"&amp;TODAY(),'Master Checklist'!H6:H65,"&lt;&gt;Completed")</f>
        <v>0</v>
      </c>
      <c r="K23" s="22"/>
      <c r="L23" s="22"/>
      <c r="N23" s="22" t="n">
        <f aca="false">SUMPRODUCT((Lists!$X$2:$X$21&gt;Lists!$W$2:$W$21)*1)</f>
        <v>0</v>
      </c>
      <c r="O23" s="22"/>
      <c r="P23" s="22"/>
    </row>
    <row r="24" customFormat="false" ht="15" hidden="false" customHeight="false" outlineLevel="0" collapsed="false">
      <c r="B24" s="22"/>
      <c r="C24" s="22"/>
      <c r="D24" s="22"/>
      <c r="F24" s="24"/>
      <c r="G24" s="24"/>
      <c r="H24" s="24"/>
      <c r="J24" s="22"/>
      <c r="K24" s="22"/>
      <c r="L24" s="22"/>
      <c r="N24" s="22"/>
      <c r="O24" s="22"/>
      <c r="P24" s="22"/>
    </row>
    <row r="25" customFormat="false" ht="15" hidden="false" customHeight="false" outlineLevel="0" collapsed="false">
      <c r="B25" s="21" t="s">
        <v>63</v>
      </c>
      <c r="C25" s="21"/>
      <c r="D25" s="21"/>
      <c r="F25" s="21" t="s">
        <v>53</v>
      </c>
      <c r="G25" s="21"/>
      <c r="H25" s="21"/>
      <c r="J25" s="21" t="s">
        <v>64</v>
      </c>
      <c r="K25" s="21"/>
      <c r="L25" s="21"/>
      <c r="N25" s="21" t="s">
        <v>65</v>
      </c>
      <c r="O25" s="21"/>
      <c r="P25" s="21"/>
    </row>
  </sheetData>
  <mergeCells count="42">
    <mergeCell ref="B2:P2"/>
    <mergeCell ref="Q2:T5"/>
    <mergeCell ref="B3:P3"/>
    <mergeCell ref="B4:P4"/>
    <mergeCell ref="B8:D9"/>
    <mergeCell ref="F8:H9"/>
    <mergeCell ref="J8:L9"/>
    <mergeCell ref="N8:P9"/>
    <mergeCell ref="R8:T9"/>
    <mergeCell ref="B10:D10"/>
    <mergeCell ref="F10:H10"/>
    <mergeCell ref="J10:L10"/>
    <mergeCell ref="N10:P10"/>
    <mergeCell ref="R10:T10"/>
    <mergeCell ref="B13:D14"/>
    <mergeCell ref="F13:H14"/>
    <mergeCell ref="J13:L14"/>
    <mergeCell ref="N13:P14"/>
    <mergeCell ref="R13:T14"/>
    <mergeCell ref="B15:D15"/>
    <mergeCell ref="F15:H15"/>
    <mergeCell ref="J15:L15"/>
    <mergeCell ref="N15:P15"/>
    <mergeCell ref="R15:T15"/>
    <mergeCell ref="B18:D19"/>
    <mergeCell ref="F18:H19"/>
    <mergeCell ref="J18:L19"/>
    <mergeCell ref="N18:P19"/>
    <mergeCell ref="R18:T19"/>
    <mergeCell ref="B20:D20"/>
    <mergeCell ref="F20:H20"/>
    <mergeCell ref="J20:L20"/>
    <mergeCell ref="N20:P20"/>
    <mergeCell ref="R20:T20"/>
    <mergeCell ref="B23:D24"/>
    <mergeCell ref="F23:H24"/>
    <mergeCell ref="J23:L24"/>
    <mergeCell ref="N23:P24"/>
    <mergeCell ref="B25:D25"/>
    <mergeCell ref="F25:H25"/>
    <mergeCell ref="J25:L25"/>
    <mergeCell ref="N25:P25"/>
  </mergeCells>
  <hyperlinks>
    <hyperlink ref="B1" r:id="rId1" location="'START%20HERE'!A1" display="‹ Start Here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tru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24"/>
  </cols>
  <sheetData>
    <row r="1" customFormat="false" ht="7.5" hidden="false" customHeight="true" outlineLevel="0" collapsed="false">
      <c r="A1" s="9"/>
      <c r="B1" s="10" t="s">
        <v>66</v>
      </c>
      <c r="C1" s="10" t="s">
        <v>42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30" hidden="false" customHeight="true" outlineLevel="0" collapsed="false">
      <c r="A2" s="9"/>
      <c r="B2" s="27" t="s">
        <v>67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9.5" hidden="false" customHeight="true" outlineLevel="0" collapsed="false">
      <c r="A3" s="15"/>
      <c r="B3" s="28" t="s">
        <v>68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5" customFormat="false" ht="15" hidden="false" customHeight="false" outlineLevel="0" collapsed="false">
      <c r="B5" s="29" t="s">
        <v>69</v>
      </c>
      <c r="C5" s="29" t="s">
        <v>70</v>
      </c>
      <c r="D5" s="29" t="s">
        <v>71</v>
      </c>
      <c r="E5" s="29" t="s">
        <v>72</v>
      </c>
      <c r="F5" s="29" t="s">
        <v>73</v>
      </c>
      <c r="G5" s="29" t="s">
        <v>74</v>
      </c>
      <c r="H5" s="29" t="s">
        <v>75</v>
      </c>
      <c r="I5" s="29" t="s">
        <v>76</v>
      </c>
      <c r="J5" s="29" t="s">
        <v>77</v>
      </c>
      <c r="K5" s="29" t="s">
        <v>78</v>
      </c>
      <c r="L5" s="29" t="s">
        <v>79</v>
      </c>
      <c r="M5" s="29" t="s">
        <v>80</v>
      </c>
      <c r="N5" s="29" t="s">
        <v>81</v>
      </c>
    </row>
    <row r="6" customFormat="false" ht="19.5" hidden="false" customHeight="true" outlineLevel="0" collapsed="false">
      <c r="B6" s="30"/>
      <c r="C6" s="30"/>
      <c r="D6" s="31"/>
      <c r="E6" s="30"/>
      <c r="F6" s="32"/>
      <c r="G6" s="32"/>
      <c r="H6" s="32" t="str">
        <f aca="false">IF(F6="","",F6-G6)</f>
        <v/>
      </c>
      <c r="I6" s="32"/>
      <c r="J6" s="32"/>
      <c r="K6" s="32" t="str">
        <f aca="false">IF(G6="","",G6-J6)</f>
        <v/>
      </c>
      <c r="L6" s="33"/>
      <c r="M6" s="34"/>
      <c r="N6" s="31"/>
    </row>
    <row r="7" customFormat="false" ht="19.5" hidden="false" customHeight="true" outlineLevel="0" collapsed="false">
      <c r="B7" s="30"/>
      <c r="C7" s="30"/>
      <c r="D7" s="31"/>
      <c r="E7" s="30"/>
      <c r="F7" s="32"/>
      <c r="G7" s="32"/>
      <c r="H7" s="32" t="str">
        <f aca="false">IF(F7="","",F7-G7)</f>
        <v/>
      </c>
      <c r="I7" s="32"/>
      <c r="J7" s="32"/>
      <c r="K7" s="32" t="str">
        <f aca="false">IF(G7="","",G7-J7)</f>
        <v/>
      </c>
      <c r="L7" s="33"/>
      <c r="M7" s="34"/>
      <c r="N7" s="31"/>
    </row>
    <row r="8" customFormat="false" ht="19.5" hidden="false" customHeight="true" outlineLevel="0" collapsed="false">
      <c r="B8" s="30"/>
      <c r="C8" s="30"/>
      <c r="D8" s="31"/>
      <c r="E8" s="30"/>
      <c r="F8" s="32"/>
      <c r="G8" s="32"/>
      <c r="H8" s="32" t="str">
        <f aca="false">IF(F8="","",F8-G8)</f>
        <v/>
      </c>
      <c r="I8" s="32"/>
      <c r="J8" s="32"/>
      <c r="K8" s="32" t="str">
        <f aca="false">IF(G8="","",G8-J8)</f>
        <v/>
      </c>
      <c r="L8" s="33"/>
      <c r="M8" s="34"/>
      <c r="N8" s="31"/>
    </row>
    <row r="9" customFormat="false" ht="19.5" hidden="false" customHeight="true" outlineLevel="0" collapsed="false">
      <c r="B9" s="30"/>
      <c r="C9" s="30"/>
      <c r="D9" s="31"/>
      <c r="E9" s="30"/>
      <c r="F9" s="32"/>
      <c r="G9" s="32"/>
      <c r="H9" s="32" t="str">
        <f aca="false">IF(F9="","",F9-G9)</f>
        <v/>
      </c>
      <c r="I9" s="32"/>
      <c r="J9" s="32"/>
      <c r="K9" s="32" t="str">
        <f aca="false">IF(G9="","",G9-J9)</f>
        <v/>
      </c>
      <c r="L9" s="33"/>
      <c r="M9" s="34"/>
      <c r="N9" s="31"/>
    </row>
    <row r="10" customFormat="false" ht="19.5" hidden="false" customHeight="true" outlineLevel="0" collapsed="false">
      <c r="B10" s="30"/>
      <c r="C10" s="30"/>
      <c r="D10" s="31"/>
      <c r="E10" s="30"/>
      <c r="F10" s="32"/>
      <c r="G10" s="32"/>
      <c r="H10" s="32" t="str">
        <f aca="false">IF(F10="","",F10-G10)</f>
        <v/>
      </c>
      <c r="I10" s="32"/>
      <c r="J10" s="32"/>
      <c r="K10" s="32" t="str">
        <f aca="false">IF(G10="","",G10-J10)</f>
        <v/>
      </c>
      <c r="L10" s="33"/>
      <c r="M10" s="34"/>
      <c r="N10" s="31"/>
    </row>
    <row r="11" customFormat="false" ht="19.5" hidden="false" customHeight="true" outlineLevel="0" collapsed="false">
      <c r="B11" s="30"/>
      <c r="C11" s="30"/>
      <c r="D11" s="31"/>
      <c r="E11" s="30"/>
      <c r="F11" s="32"/>
      <c r="G11" s="32"/>
      <c r="H11" s="32" t="str">
        <f aca="false">IF(F11="","",F11-G11)</f>
        <v/>
      </c>
      <c r="I11" s="32"/>
      <c r="J11" s="32"/>
      <c r="K11" s="32" t="str">
        <f aca="false">IF(G11="","",G11-J11)</f>
        <v/>
      </c>
      <c r="L11" s="33"/>
      <c r="M11" s="34"/>
      <c r="N11" s="31"/>
    </row>
    <row r="12" customFormat="false" ht="19.5" hidden="false" customHeight="true" outlineLevel="0" collapsed="false">
      <c r="B12" s="30"/>
      <c r="C12" s="30"/>
      <c r="D12" s="31"/>
      <c r="E12" s="30"/>
      <c r="F12" s="32"/>
      <c r="G12" s="32"/>
      <c r="H12" s="32" t="str">
        <f aca="false">IF(F12="","",F12-G12)</f>
        <v/>
      </c>
      <c r="I12" s="32"/>
      <c r="J12" s="32"/>
      <c r="K12" s="32" t="str">
        <f aca="false">IF(G12="","",G12-J12)</f>
        <v/>
      </c>
      <c r="L12" s="33"/>
      <c r="M12" s="34"/>
      <c r="N12" s="31"/>
    </row>
    <row r="13" customFormat="false" ht="19.5" hidden="false" customHeight="true" outlineLevel="0" collapsed="false">
      <c r="B13" s="30"/>
      <c r="C13" s="30"/>
      <c r="D13" s="31"/>
      <c r="E13" s="30"/>
      <c r="F13" s="32"/>
      <c r="G13" s="32"/>
      <c r="H13" s="32" t="str">
        <f aca="false">IF(F13="","",F13-G13)</f>
        <v/>
      </c>
      <c r="I13" s="32"/>
      <c r="J13" s="32"/>
      <c r="K13" s="32" t="str">
        <f aca="false">IF(G13="","",G13-J13)</f>
        <v/>
      </c>
      <c r="L13" s="33"/>
      <c r="M13" s="34"/>
      <c r="N13" s="31"/>
    </row>
    <row r="14" customFormat="false" ht="19.5" hidden="false" customHeight="true" outlineLevel="0" collapsed="false">
      <c r="B14" s="30"/>
      <c r="C14" s="30"/>
      <c r="D14" s="31"/>
      <c r="E14" s="30"/>
      <c r="F14" s="32"/>
      <c r="G14" s="32"/>
      <c r="H14" s="32" t="str">
        <f aca="false">IF(F14="","",F14-G14)</f>
        <v/>
      </c>
      <c r="I14" s="32"/>
      <c r="J14" s="32"/>
      <c r="K14" s="32" t="str">
        <f aca="false">IF(G14="","",G14-J14)</f>
        <v/>
      </c>
      <c r="L14" s="33"/>
      <c r="M14" s="34"/>
      <c r="N14" s="31"/>
    </row>
    <row r="15" customFormat="false" ht="19.5" hidden="false" customHeight="true" outlineLevel="0" collapsed="false">
      <c r="B15" s="30"/>
      <c r="C15" s="30"/>
      <c r="D15" s="31"/>
      <c r="E15" s="30"/>
      <c r="F15" s="32"/>
      <c r="G15" s="32"/>
      <c r="H15" s="32" t="str">
        <f aca="false">IF(F15="","",F15-G15)</f>
        <v/>
      </c>
      <c r="I15" s="32"/>
      <c r="J15" s="32"/>
      <c r="K15" s="32" t="str">
        <f aca="false">IF(G15="","",G15-J15)</f>
        <v/>
      </c>
      <c r="L15" s="33"/>
      <c r="M15" s="34"/>
      <c r="N15" s="31"/>
    </row>
    <row r="16" customFormat="false" ht="19.5" hidden="false" customHeight="true" outlineLevel="0" collapsed="false">
      <c r="B16" s="30"/>
      <c r="C16" s="30"/>
      <c r="D16" s="31"/>
      <c r="E16" s="30"/>
      <c r="F16" s="32"/>
      <c r="G16" s="32"/>
      <c r="H16" s="32" t="str">
        <f aca="false">IF(F16="","",F16-G16)</f>
        <v/>
      </c>
      <c r="I16" s="32"/>
      <c r="J16" s="32"/>
      <c r="K16" s="32" t="str">
        <f aca="false">IF(G16="","",G16-J16)</f>
        <v/>
      </c>
      <c r="L16" s="33"/>
      <c r="M16" s="34"/>
      <c r="N16" s="31"/>
    </row>
    <row r="17" customFormat="false" ht="19.5" hidden="false" customHeight="true" outlineLevel="0" collapsed="false">
      <c r="B17" s="30"/>
      <c r="C17" s="30"/>
      <c r="D17" s="31"/>
      <c r="E17" s="30"/>
      <c r="F17" s="32"/>
      <c r="G17" s="32"/>
      <c r="H17" s="32" t="str">
        <f aca="false">IF(F17="","",F17-G17)</f>
        <v/>
      </c>
      <c r="I17" s="32"/>
      <c r="J17" s="32"/>
      <c r="K17" s="32" t="str">
        <f aca="false">IF(G17="","",G17-J17)</f>
        <v/>
      </c>
      <c r="L17" s="33"/>
      <c r="M17" s="34"/>
      <c r="N17" s="31"/>
    </row>
    <row r="18" customFormat="false" ht="19.5" hidden="false" customHeight="true" outlineLevel="0" collapsed="false">
      <c r="B18" s="30"/>
      <c r="C18" s="30"/>
      <c r="D18" s="31"/>
      <c r="E18" s="30"/>
      <c r="F18" s="32"/>
      <c r="G18" s="32"/>
      <c r="H18" s="32" t="str">
        <f aca="false">IF(F18="","",F18-G18)</f>
        <v/>
      </c>
      <c r="I18" s="32"/>
      <c r="J18" s="32"/>
      <c r="K18" s="32" t="str">
        <f aca="false">IF(G18="","",G18-J18)</f>
        <v/>
      </c>
      <c r="L18" s="33"/>
      <c r="M18" s="34"/>
      <c r="N18" s="31"/>
    </row>
    <row r="19" customFormat="false" ht="19.5" hidden="false" customHeight="true" outlineLevel="0" collapsed="false">
      <c r="B19" s="30"/>
      <c r="C19" s="30"/>
      <c r="D19" s="31"/>
      <c r="E19" s="30"/>
      <c r="F19" s="32"/>
      <c r="G19" s="32"/>
      <c r="H19" s="32" t="str">
        <f aca="false">IF(F19="","",F19-G19)</f>
        <v/>
      </c>
      <c r="I19" s="32"/>
      <c r="J19" s="32"/>
      <c r="K19" s="32" t="str">
        <f aca="false">IF(G19="","",G19-J19)</f>
        <v/>
      </c>
      <c r="L19" s="33"/>
      <c r="M19" s="34"/>
      <c r="N19" s="31"/>
    </row>
    <row r="20" customFormat="false" ht="19.5" hidden="false" customHeight="true" outlineLevel="0" collapsed="false">
      <c r="B20" s="30"/>
      <c r="C20" s="30"/>
      <c r="D20" s="31"/>
      <c r="E20" s="30"/>
      <c r="F20" s="32"/>
      <c r="G20" s="32"/>
      <c r="H20" s="32" t="str">
        <f aca="false">IF(F20="","",F20-G20)</f>
        <v/>
      </c>
      <c r="I20" s="32"/>
      <c r="J20" s="32"/>
      <c r="K20" s="32" t="str">
        <f aca="false">IF(G20="","",G20-J20)</f>
        <v/>
      </c>
      <c r="L20" s="33"/>
      <c r="M20" s="34"/>
      <c r="N20" s="31"/>
    </row>
    <row r="21" customFormat="false" ht="19.5" hidden="false" customHeight="true" outlineLevel="0" collapsed="false">
      <c r="B21" s="30"/>
      <c r="C21" s="30"/>
      <c r="D21" s="31"/>
      <c r="E21" s="30"/>
      <c r="F21" s="32"/>
      <c r="G21" s="32"/>
      <c r="H21" s="32" t="str">
        <f aca="false">IF(F21="","",F21-G21)</f>
        <v/>
      </c>
      <c r="I21" s="32"/>
      <c r="J21" s="32"/>
      <c r="K21" s="32" t="str">
        <f aca="false">IF(G21="","",G21-J21)</f>
        <v/>
      </c>
      <c r="L21" s="33"/>
      <c r="M21" s="34"/>
      <c r="N21" s="31"/>
    </row>
    <row r="22" customFormat="false" ht="19.5" hidden="false" customHeight="true" outlineLevel="0" collapsed="false">
      <c r="B22" s="30"/>
      <c r="C22" s="30"/>
      <c r="D22" s="31"/>
      <c r="E22" s="30"/>
      <c r="F22" s="32"/>
      <c r="G22" s="32"/>
      <c r="H22" s="32" t="str">
        <f aca="false">IF(F22="","",F22-G22)</f>
        <v/>
      </c>
      <c r="I22" s="32"/>
      <c r="J22" s="32"/>
      <c r="K22" s="32" t="str">
        <f aca="false">IF(G22="","",G22-J22)</f>
        <v/>
      </c>
      <c r="L22" s="33"/>
      <c r="M22" s="34"/>
      <c r="N22" s="31"/>
    </row>
    <row r="23" customFormat="false" ht="19.5" hidden="false" customHeight="true" outlineLevel="0" collapsed="false">
      <c r="B23" s="30"/>
      <c r="C23" s="30"/>
      <c r="D23" s="31"/>
      <c r="E23" s="30"/>
      <c r="F23" s="32"/>
      <c r="G23" s="32"/>
      <c r="H23" s="32" t="str">
        <f aca="false">IF(F23="","",F23-G23)</f>
        <v/>
      </c>
      <c r="I23" s="32"/>
      <c r="J23" s="32"/>
      <c r="K23" s="32" t="str">
        <f aca="false">IF(G23="","",G23-J23)</f>
        <v/>
      </c>
      <c r="L23" s="33"/>
      <c r="M23" s="34"/>
      <c r="N23" s="31"/>
    </row>
    <row r="24" customFormat="false" ht="19.5" hidden="false" customHeight="true" outlineLevel="0" collapsed="false">
      <c r="B24" s="30"/>
      <c r="C24" s="30"/>
      <c r="D24" s="31"/>
      <c r="E24" s="30"/>
      <c r="F24" s="32"/>
      <c r="G24" s="32"/>
      <c r="H24" s="32" t="str">
        <f aca="false">IF(F24="","",F24-G24)</f>
        <v/>
      </c>
      <c r="I24" s="32"/>
      <c r="J24" s="32"/>
      <c r="K24" s="32" t="str">
        <f aca="false">IF(G24="","",G24-J24)</f>
        <v/>
      </c>
      <c r="L24" s="33"/>
      <c r="M24" s="34"/>
      <c r="N24" s="31"/>
    </row>
    <row r="25" customFormat="false" ht="19.5" hidden="false" customHeight="true" outlineLevel="0" collapsed="false">
      <c r="B25" s="30"/>
      <c r="C25" s="30"/>
      <c r="D25" s="31"/>
      <c r="E25" s="30"/>
      <c r="F25" s="32"/>
      <c r="G25" s="32"/>
      <c r="H25" s="32" t="str">
        <f aca="false">IF(F25="","",F25-G25)</f>
        <v/>
      </c>
      <c r="I25" s="32"/>
      <c r="J25" s="32"/>
      <c r="K25" s="32" t="str">
        <f aca="false">IF(G25="","",G25-J25)</f>
        <v/>
      </c>
      <c r="L25" s="33"/>
      <c r="M25" s="34"/>
      <c r="N25" s="31"/>
    </row>
    <row r="26" customFormat="false" ht="19.5" hidden="false" customHeight="true" outlineLevel="0" collapsed="false">
      <c r="B26" s="30"/>
      <c r="C26" s="30"/>
      <c r="D26" s="31"/>
      <c r="E26" s="30"/>
      <c r="F26" s="32"/>
      <c r="G26" s="32"/>
      <c r="H26" s="32" t="str">
        <f aca="false">IF(F26="","",F26-G26)</f>
        <v/>
      </c>
      <c r="I26" s="32"/>
      <c r="J26" s="32"/>
      <c r="K26" s="32" t="str">
        <f aca="false">IF(G26="","",G26-J26)</f>
        <v/>
      </c>
      <c r="L26" s="33"/>
      <c r="M26" s="34"/>
      <c r="N26" s="31"/>
    </row>
    <row r="27" customFormat="false" ht="19.5" hidden="false" customHeight="true" outlineLevel="0" collapsed="false">
      <c r="B27" s="30"/>
      <c r="C27" s="30"/>
      <c r="D27" s="31"/>
      <c r="E27" s="30"/>
      <c r="F27" s="32"/>
      <c r="G27" s="32"/>
      <c r="H27" s="32" t="str">
        <f aca="false">IF(F27="","",F27-G27)</f>
        <v/>
      </c>
      <c r="I27" s="32"/>
      <c r="J27" s="32"/>
      <c r="K27" s="32" t="str">
        <f aca="false">IF(G27="","",G27-J27)</f>
        <v/>
      </c>
      <c r="L27" s="33"/>
      <c r="M27" s="34"/>
      <c r="N27" s="31"/>
    </row>
    <row r="28" customFormat="false" ht="19.5" hidden="false" customHeight="true" outlineLevel="0" collapsed="false">
      <c r="B28" s="30"/>
      <c r="C28" s="30"/>
      <c r="D28" s="31"/>
      <c r="E28" s="30"/>
      <c r="F28" s="32"/>
      <c r="G28" s="32"/>
      <c r="H28" s="32" t="str">
        <f aca="false">IF(F28="","",F28-G28)</f>
        <v/>
      </c>
      <c r="I28" s="32"/>
      <c r="J28" s="32"/>
      <c r="K28" s="32" t="str">
        <f aca="false">IF(G28="","",G28-J28)</f>
        <v/>
      </c>
      <c r="L28" s="33"/>
      <c r="M28" s="34"/>
      <c r="N28" s="31"/>
    </row>
    <row r="29" customFormat="false" ht="19.5" hidden="false" customHeight="true" outlineLevel="0" collapsed="false">
      <c r="B29" s="30"/>
      <c r="C29" s="30"/>
      <c r="D29" s="31"/>
      <c r="E29" s="30"/>
      <c r="F29" s="32"/>
      <c r="G29" s="32"/>
      <c r="H29" s="32" t="str">
        <f aca="false">IF(F29="","",F29-G29)</f>
        <v/>
      </c>
      <c r="I29" s="32"/>
      <c r="J29" s="32"/>
      <c r="K29" s="32" t="str">
        <f aca="false">IF(G29="","",G29-J29)</f>
        <v/>
      </c>
      <c r="L29" s="33"/>
      <c r="M29" s="34"/>
      <c r="N29" s="31"/>
    </row>
    <row r="30" customFormat="false" ht="19.5" hidden="false" customHeight="true" outlineLevel="0" collapsed="false">
      <c r="B30" s="30"/>
      <c r="C30" s="30"/>
      <c r="D30" s="31"/>
      <c r="E30" s="30"/>
      <c r="F30" s="32"/>
      <c r="G30" s="32"/>
      <c r="H30" s="32" t="str">
        <f aca="false">IF(F30="","",F30-G30)</f>
        <v/>
      </c>
      <c r="I30" s="32"/>
      <c r="J30" s="32"/>
      <c r="K30" s="32" t="str">
        <f aca="false">IF(G30="","",G30-J30)</f>
        <v/>
      </c>
      <c r="L30" s="33"/>
      <c r="M30" s="34"/>
      <c r="N30" s="31"/>
    </row>
    <row r="31" customFormat="false" ht="19.5" hidden="false" customHeight="true" outlineLevel="0" collapsed="false">
      <c r="B31" s="30"/>
      <c r="C31" s="30"/>
      <c r="D31" s="31"/>
      <c r="E31" s="30"/>
      <c r="F31" s="32"/>
      <c r="G31" s="32"/>
      <c r="H31" s="32" t="str">
        <f aca="false">IF(F31="","",F31-G31)</f>
        <v/>
      </c>
      <c r="I31" s="32"/>
      <c r="J31" s="32"/>
      <c r="K31" s="32" t="str">
        <f aca="false">IF(G31="","",G31-J31)</f>
        <v/>
      </c>
      <c r="L31" s="33"/>
      <c r="M31" s="34"/>
      <c r="N31" s="31"/>
    </row>
    <row r="32" customFormat="false" ht="19.5" hidden="false" customHeight="true" outlineLevel="0" collapsed="false">
      <c r="B32" s="30"/>
      <c r="C32" s="30"/>
      <c r="D32" s="31"/>
      <c r="E32" s="30"/>
      <c r="F32" s="32"/>
      <c r="G32" s="32"/>
      <c r="H32" s="32" t="str">
        <f aca="false">IF(F32="","",F32-G32)</f>
        <v/>
      </c>
      <c r="I32" s="32"/>
      <c r="J32" s="32"/>
      <c r="K32" s="32" t="str">
        <f aca="false">IF(G32="","",G32-J32)</f>
        <v/>
      </c>
      <c r="L32" s="33"/>
      <c r="M32" s="34"/>
      <c r="N32" s="31"/>
    </row>
    <row r="33" customFormat="false" ht="19.5" hidden="false" customHeight="true" outlineLevel="0" collapsed="false">
      <c r="B33" s="30"/>
      <c r="C33" s="30"/>
      <c r="D33" s="31"/>
      <c r="E33" s="30"/>
      <c r="F33" s="32"/>
      <c r="G33" s="32"/>
      <c r="H33" s="32" t="str">
        <f aca="false">IF(F33="","",F33-G33)</f>
        <v/>
      </c>
      <c r="I33" s="32"/>
      <c r="J33" s="32"/>
      <c r="K33" s="32" t="str">
        <f aca="false">IF(G33="","",G33-J33)</f>
        <v/>
      </c>
      <c r="L33" s="33"/>
      <c r="M33" s="34"/>
      <c r="N33" s="31"/>
    </row>
    <row r="34" customFormat="false" ht="19.5" hidden="false" customHeight="true" outlineLevel="0" collapsed="false">
      <c r="B34" s="30"/>
      <c r="C34" s="30"/>
      <c r="D34" s="31"/>
      <c r="E34" s="30"/>
      <c r="F34" s="32"/>
      <c r="G34" s="32"/>
      <c r="H34" s="32" t="str">
        <f aca="false">IF(F34="","",F34-G34)</f>
        <v/>
      </c>
      <c r="I34" s="32"/>
      <c r="J34" s="32"/>
      <c r="K34" s="32" t="str">
        <f aca="false">IF(G34="","",G34-J34)</f>
        <v/>
      </c>
      <c r="L34" s="33"/>
      <c r="M34" s="34"/>
      <c r="N34" s="31"/>
    </row>
    <row r="35" customFormat="false" ht="19.5" hidden="false" customHeight="true" outlineLevel="0" collapsed="false">
      <c r="B35" s="30"/>
      <c r="C35" s="30"/>
      <c r="D35" s="31"/>
      <c r="E35" s="30"/>
      <c r="F35" s="32"/>
      <c r="G35" s="32"/>
      <c r="H35" s="32" t="str">
        <f aca="false">IF(F35="","",F35-G35)</f>
        <v/>
      </c>
      <c r="I35" s="32"/>
      <c r="J35" s="32"/>
      <c r="K35" s="32" t="str">
        <f aca="false">IF(G35="","",G35-J35)</f>
        <v/>
      </c>
      <c r="L35" s="33"/>
      <c r="M35" s="34"/>
      <c r="N35" s="31"/>
    </row>
    <row r="37" customFormat="false" ht="15" hidden="false" customHeight="false" outlineLevel="0" collapsed="false">
      <c r="B37" s="16" t="s">
        <v>82</v>
      </c>
    </row>
    <row r="38" customFormat="false" ht="15" hidden="false" customHeight="false" outlineLevel="0" collapsed="false">
      <c r="B38" s="17" t="n">
        <f aca="false">SUM(F6:F35)</f>
        <v>0</v>
      </c>
      <c r="C38" s="17"/>
      <c r="D38" s="17"/>
      <c r="E38" s="17" t="n">
        <f aca="false">SUM(G6:G35)</f>
        <v>0</v>
      </c>
      <c r="F38" s="17"/>
      <c r="G38" s="17"/>
      <c r="H38" s="17" t="n">
        <f aca="false">SUM(K6:K35)</f>
        <v>0</v>
      </c>
      <c r="I38" s="17"/>
      <c r="J38" s="17"/>
      <c r="K38" s="35" t="str">
        <f aca="false">IFERROR(SUM(G6:G35)/TotalBudget,"")</f>
        <v/>
      </c>
      <c r="L38" s="35"/>
      <c r="M38" s="35"/>
    </row>
    <row r="39" customFormat="false" ht="15" hidden="false" customHeight="false" outlineLevel="0" collapsed="false">
      <c r="B39" s="17"/>
      <c r="C39" s="17"/>
      <c r="D39" s="17"/>
      <c r="E39" s="17"/>
      <c r="F39" s="17"/>
      <c r="G39" s="17"/>
      <c r="H39" s="17"/>
      <c r="I39" s="17"/>
      <c r="J39" s="17"/>
      <c r="K39" s="35"/>
      <c r="L39" s="35"/>
      <c r="M39" s="35"/>
    </row>
    <row r="40" customFormat="false" ht="15" hidden="false" customHeight="false" outlineLevel="0" collapsed="false">
      <c r="B40" s="21" t="s">
        <v>83</v>
      </c>
      <c r="C40" s="21"/>
      <c r="D40" s="21"/>
      <c r="E40" s="21" t="s">
        <v>84</v>
      </c>
      <c r="F40" s="21"/>
      <c r="G40" s="21"/>
      <c r="H40" s="21" t="s">
        <v>85</v>
      </c>
      <c r="I40" s="21"/>
      <c r="J40" s="21"/>
      <c r="K40" s="21" t="s">
        <v>86</v>
      </c>
      <c r="L40" s="21"/>
      <c r="M40" s="21"/>
    </row>
  </sheetData>
  <autoFilter ref="B5:N35"/>
  <mergeCells count="8">
    <mergeCell ref="B38:D39"/>
    <mergeCell ref="E38:G39"/>
    <mergeCell ref="H38:J39"/>
    <mergeCell ref="K38:M39"/>
    <mergeCell ref="B40:D40"/>
    <mergeCell ref="E40:G40"/>
    <mergeCell ref="H40:J40"/>
    <mergeCell ref="K40:M40"/>
  </mergeCells>
  <conditionalFormatting sqref="L6:L35">
    <cfRule type="expression" priority="2" aboveAverage="0" equalAverage="0" bottom="0" percent="0" rank="0" text="" dxfId="4">
      <formula>EXACT(TRIM(L6),"Paid in Full")</formula>
    </cfRule>
    <cfRule type="expression" priority="3" aboveAverage="0" equalAverage="0" bottom="0" percent="0" rank="0" text="" dxfId="5">
      <formula>EXACT(TRIM(L6),"Overdue")</formula>
    </cfRule>
    <cfRule type="expression" priority="4" aboveAverage="0" equalAverage="0" bottom="0" percent="0" rank="0" text="" dxfId="6">
      <formula>EXACT(TRIM(L6),"Deposit Paid")</formula>
    </cfRule>
    <cfRule type="expression" priority="5" aboveAverage="0" equalAverage="0" bottom="0" percent="0" rank="0" text="" dxfId="7">
      <formula>EXACT(TRIM(L6),"Not Started")</formula>
    </cfRule>
  </conditionalFormatting>
  <conditionalFormatting sqref="G6:G35">
    <cfRule type="cellIs" priority="6" operator="greaterThan" aboveAverage="0" equalAverage="0" bottom="0" percent="0" rank="0" text="" dxfId="5">
      <formula>F6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B6:B35" type="list">
      <formula1>Lists!$F$2:$F$21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M6:M35" type="list">
      <formula1>Lists!$B$2:$B$6</formula1>
      <formula2>0</formula2>
    </dataValidation>
  </dataValidations>
  <hyperlinks>
    <hyperlink ref="B1" r:id="rId1" location="'Dashboard'!A1" display="‹ Dashboard"/>
    <hyperlink ref="C1" r:id="rId2" location="'START%20HERE'!A1" display="‹ Start Here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tableParts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true"/>
  </sheetPr>
  <dimension ref="A1:P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11" min="8" style="0" width="13"/>
    <col collapsed="false" customWidth="true" hidden="false" outlineLevel="0" max="12" min="12" style="0" width="17"/>
    <col collapsed="false" customWidth="true" hidden="false" outlineLevel="0" max="13" min="13" style="0" width="16"/>
    <col collapsed="false" customWidth="true" hidden="false" outlineLevel="0" max="14" min="14" style="0" width="13"/>
    <col collapsed="false" customWidth="true" hidden="false" outlineLevel="0" max="15" min="15" style="0" width="9"/>
    <col collapsed="false" customWidth="true" hidden="false" outlineLevel="0" max="16" min="16" style="0" width="22"/>
  </cols>
  <sheetData>
    <row r="1" customFormat="false" ht="7.5" hidden="false" customHeight="true" outlineLevel="0" collapsed="false">
      <c r="A1" s="9"/>
      <c r="B1" s="10" t="s">
        <v>66</v>
      </c>
      <c r="C1" s="10" t="s">
        <v>42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customFormat="false" ht="30" hidden="false" customHeight="true" outlineLevel="0" collapsed="false">
      <c r="A2" s="9"/>
      <c r="B2" s="27" t="s">
        <v>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customFormat="false" ht="19.5" hidden="false" customHeight="true" outlineLevel="0" collapsed="false">
      <c r="A3" s="15"/>
      <c r="B3" s="28" t="s">
        <v>88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5" customFormat="false" ht="15" hidden="false" customHeight="false" outlineLevel="0" collapsed="false">
      <c r="B5" s="29" t="s">
        <v>89</v>
      </c>
      <c r="C5" s="29" t="s">
        <v>69</v>
      </c>
      <c r="D5" s="29" t="s">
        <v>90</v>
      </c>
      <c r="E5" s="29" t="s">
        <v>91</v>
      </c>
      <c r="F5" s="29" t="s">
        <v>92</v>
      </c>
      <c r="G5" s="29" t="s">
        <v>93</v>
      </c>
      <c r="H5" s="29" t="s">
        <v>94</v>
      </c>
      <c r="I5" s="29" t="s">
        <v>95</v>
      </c>
      <c r="J5" s="29" t="s">
        <v>76</v>
      </c>
      <c r="K5" s="29" t="s">
        <v>96</v>
      </c>
      <c r="L5" s="29" t="s">
        <v>97</v>
      </c>
      <c r="M5" s="29" t="s">
        <v>80</v>
      </c>
      <c r="N5" s="29" t="s">
        <v>79</v>
      </c>
      <c r="O5" s="29" t="s">
        <v>98</v>
      </c>
      <c r="P5" s="29" t="s">
        <v>81</v>
      </c>
    </row>
    <row r="6" customFormat="false" ht="19.5" hidden="false" customHeight="true" outlineLevel="0" collapsed="false">
      <c r="B6" s="30"/>
      <c r="C6" s="30"/>
      <c r="D6" s="30"/>
      <c r="E6" s="30"/>
      <c r="F6" s="30"/>
      <c r="G6" s="30"/>
      <c r="H6" s="32"/>
      <c r="I6" s="32"/>
      <c r="J6" s="32"/>
      <c r="K6" s="32" t="str">
        <f aca="false">IF(I6="","",I6-J6)</f>
        <v/>
      </c>
      <c r="L6" s="34"/>
      <c r="M6" s="34"/>
      <c r="N6" s="33"/>
      <c r="O6" s="34"/>
      <c r="P6" s="31"/>
    </row>
    <row r="7" customFormat="false" ht="19.5" hidden="false" customHeight="true" outlineLevel="0" collapsed="false">
      <c r="B7" s="30"/>
      <c r="C7" s="30"/>
      <c r="D7" s="30"/>
      <c r="E7" s="30"/>
      <c r="F7" s="30"/>
      <c r="G7" s="30"/>
      <c r="H7" s="32"/>
      <c r="I7" s="32"/>
      <c r="J7" s="32"/>
      <c r="K7" s="32" t="str">
        <f aca="false">IF(I7="","",I7-J7)</f>
        <v/>
      </c>
      <c r="L7" s="34"/>
      <c r="M7" s="34"/>
      <c r="N7" s="33"/>
      <c r="O7" s="34"/>
      <c r="P7" s="31"/>
    </row>
    <row r="8" customFormat="false" ht="19.5" hidden="false" customHeight="true" outlineLevel="0" collapsed="false">
      <c r="B8" s="30"/>
      <c r="C8" s="30"/>
      <c r="D8" s="30"/>
      <c r="E8" s="30"/>
      <c r="F8" s="30"/>
      <c r="G8" s="30"/>
      <c r="H8" s="32"/>
      <c r="I8" s="32"/>
      <c r="J8" s="32"/>
      <c r="K8" s="32" t="str">
        <f aca="false">IF(I8="","",I8-J8)</f>
        <v/>
      </c>
      <c r="L8" s="34"/>
      <c r="M8" s="34"/>
      <c r="N8" s="33"/>
      <c r="O8" s="34"/>
      <c r="P8" s="31"/>
    </row>
    <row r="9" customFormat="false" ht="19.5" hidden="false" customHeight="true" outlineLevel="0" collapsed="false">
      <c r="B9" s="30"/>
      <c r="C9" s="30"/>
      <c r="D9" s="30"/>
      <c r="E9" s="30"/>
      <c r="F9" s="30"/>
      <c r="G9" s="30"/>
      <c r="H9" s="32"/>
      <c r="I9" s="32"/>
      <c r="J9" s="32"/>
      <c r="K9" s="32" t="str">
        <f aca="false">IF(I9="","",I9-J9)</f>
        <v/>
      </c>
      <c r="L9" s="34"/>
      <c r="M9" s="34"/>
      <c r="N9" s="33"/>
      <c r="O9" s="34"/>
      <c r="P9" s="31"/>
    </row>
    <row r="10" customFormat="false" ht="19.5" hidden="false" customHeight="true" outlineLevel="0" collapsed="false">
      <c r="B10" s="30"/>
      <c r="C10" s="30"/>
      <c r="D10" s="30"/>
      <c r="E10" s="30"/>
      <c r="F10" s="30"/>
      <c r="G10" s="30"/>
      <c r="H10" s="32"/>
      <c r="I10" s="32"/>
      <c r="J10" s="32"/>
      <c r="K10" s="32" t="str">
        <f aca="false">IF(I10="","",I10-J10)</f>
        <v/>
      </c>
      <c r="L10" s="34"/>
      <c r="M10" s="34"/>
      <c r="N10" s="33"/>
      <c r="O10" s="34"/>
      <c r="P10" s="31"/>
    </row>
    <row r="11" customFormat="false" ht="19.5" hidden="false" customHeight="true" outlineLevel="0" collapsed="false">
      <c r="B11" s="30"/>
      <c r="C11" s="30"/>
      <c r="D11" s="30"/>
      <c r="E11" s="30"/>
      <c r="F11" s="30"/>
      <c r="G11" s="30"/>
      <c r="H11" s="32"/>
      <c r="I11" s="32"/>
      <c r="J11" s="32"/>
      <c r="K11" s="32" t="str">
        <f aca="false">IF(I11="","",I11-J11)</f>
        <v/>
      </c>
      <c r="L11" s="34"/>
      <c r="M11" s="34"/>
      <c r="N11" s="33"/>
      <c r="O11" s="34"/>
      <c r="P11" s="31"/>
    </row>
    <row r="12" customFormat="false" ht="19.5" hidden="false" customHeight="true" outlineLevel="0" collapsed="false">
      <c r="B12" s="30"/>
      <c r="C12" s="30"/>
      <c r="D12" s="30"/>
      <c r="E12" s="30"/>
      <c r="F12" s="30"/>
      <c r="G12" s="30"/>
      <c r="H12" s="32"/>
      <c r="I12" s="32"/>
      <c r="J12" s="32"/>
      <c r="K12" s="32" t="str">
        <f aca="false">IF(I12="","",I12-J12)</f>
        <v/>
      </c>
      <c r="L12" s="34"/>
      <c r="M12" s="34"/>
      <c r="N12" s="33"/>
      <c r="O12" s="34"/>
      <c r="P12" s="31"/>
    </row>
    <row r="13" customFormat="false" ht="19.5" hidden="false" customHeight="true" outlineLevel="0" collapsed="false">
      <c r="B13" s="30"/>
      <c r="C13" s="30"/>
      <c r="D13" s="30"/>
      <c r="E13" s="30"/>
      <c r="F13" s="30"/>
      <c r="G13" s="30"/>
      <c r="H13" s="32"/>
      <c r="I13" s="32"/>
      <c r="J13" s="32"/>
      <c r="K13" s="32" t="str">
        <f aca="false">IF(I13="","",I13-J13)</f>
        <v/>
      </c>
      <c r="L13" s="34"/>
      <c r="M13" s="34"/>
      <c r="N13" s="33"/>
      <c r="O13" s="34"/>
      <c r="P13" s="31"/>
    </row>
    <row r="14" customFormat="false" ht="19.5" hidden="false" customHeight="true" outlineLevel="0" collapsed="false">
      <c r="B14" s="30"/>
      <c r="C14" s="30"/>
      <c r="D14" s="30"/>
      <c r="E14" s="30"/>
      <c r="F14" s="30"/>
      <c r="G14" s="30"/>
      <c r="H14" s="32"/>
      <c r="I14" s="32"/>
      <c r="J14" s="32"/>
      <c r="K14" s="32" t="str">
        <f aca="false">IF(I14="","",I14-J14)</f>
        <v/>
      </c>
      <c r="L14" s="34"/>
      <c r="M14" s="34"/>
      <c r="N14" s="33"/>
      <c r="O14" s="34"/>
      <c r="P14" s="31"/>
    </row>
    <row r="15" customFormat="false" ht="19.5" hidden="false" customHeight="true" outlineLevel="0" collapsed="false">
      <c r="B15" s="30"/>
      <c r="C15" s="30"/>
      <c r="D15" s="30"/>
      <c r="E15" s="30"/>
      <c r="F15" s="30"/>
      <c r="G15" s="30"/>
      <c r="H15" s="32"/>
      <c r="I15" s="32"/>
      <c r="J15" s="32"/>
      <c r="K15" s="32" t="str">
        <f aca="false">IF(I15="","",I15-J15)</f>
        <v/>
      </c>
      <c r="L15" s="34"/>
      <c r="M15" s="34"/>
      <c r="N15" s="33"/>
      <c r="O15" s="34"/>
      <c r="P15" s="31"/>
    </row>
    <row r="16" customFormat="false" ht="19.5" hidden="false" customHeight="true" outlineLevel="0" collapsed="false">
      <c r="B16" s="30"/>
      <c r="C16" s="30"/>
      <c r="D16" s="30"/>
      <c r="E16" s="30"/>
      <c r="F16" s="30"/>
      <c r="G16" s="30"/>
      <c r="H16" s="32"/>
      <c r="I16" s="32"/>
      <c r="J16" s="32"/>
      <c r="K16" s="32" t="str">
        <f aca="false">IF(I16="","",I16-J16)</f>
        <v/>
      </c>
      <c r="L16" s="34"/>
      <c r="M16" s="34"/>
      <c r="N16" s="33"/>
      <c r="O16" s="34"/>
      <c r="P16" s="31"/>
    </row>
    <row r="17" customFormat="false" ht="19.5" hidden="false" customHeight="true" outlineLevel="0" collapsed="false">
      <c r="B17" s="30"/>
      <c r="C17" s="30"/>
      <c r="D17" s="30"/>
      <c r="E17" s="30"/>
      <c r="F17" s="30"/>
      <c r="G17" s="30"/>
      <c r="H17" s="32"/>
      <c r="I17" s="32"/>
      <c r="J17" s="32"/>
      <c r="K17" s="32" t="str">
        <f aca="false">IF(I17="","",I17-J17)</f>
        <v/>
      </c>
      <c r="L17" s="34"/>
      <c r="M17" s="34"/>
      <c r="N17" s="33"/>
      <c r="O17" s="34"/>
      <c r="P17" s="31"/>
    </row>
    <row r="18" customFormat="false" ht="19.5" hidden="false" customHeight="true" outlineLevel="0" collapsed="false">
      <c r="B18" s="30"/>
      <c r="C18" s="30"/>
      <c r="D18" s="30"/>
      <c r="E18" s="30"/>
      <c r="F18" s="30"/>
      <c r="G18" s="30"/>
      <c r="H18" s="32"/>
      <c r="I18" s="32"/>
      <c r="J18" s="32"/>
      <c r="K18" s="32" t="str">
        <f aca="false">IF(I18="","",I18-J18)</f>
        <v/>
      </c>
      <c r="L18" s="34"/>
      <c r="M18" s="34"/>
      <c r="N18" s="33"/>
      <c r="O18" s="34"/>
      <c r="P18" s="31"/>
    </row>
    <row r="19" customFormat="false" ht="19.5" hidden="false" customHeight="true" outlineLevel="0" collapsed="false">
      <c r="B19" s="30"/>
      <c r="C19" s="30"/>
      <c r="D19" s="30"/>
      <c r="E19" s="30"/>
      <c r="F19" s="30"/>
      <c r="G19" s="30"/>
      <c r="H19" s="32"/>
      <c r="I19" s="32"/>
      <c r="J19" s="32"/>
      <c r="K19" s="32" t="str">
        <f aca="false">IF(I19="","",I19-J19)</f>
        <v/>
      </c>
      <c r="L19" s="34"/>
      <c r="M19" s="34"/>
      <c r="N19" s="33"/>
      <c r="O19" s="34"/>
      <c r="P19" s="31"/>
    </row>
    <row r="20" customFormat="false" ht="19.5" hidden="false" customHeight="true" outlineLevel="0" collapsed="false">
      <c r="B20" s="30"/>
      <c r="C20" s="30"/>
      <c r="D20" s="30"/>
      <c r="E20" s="30"/>
      <c r="F20" s="30"/>
      <c r="G20" s="30"/>
      <c r="H20" s="32"/>
      <c r="I20" s="32"/>
      <c r="J20" s="32"/>
      <c r="K20" s="32" t="str">
        <f aca="false">IF(I20="","",I20-J20)</f>
        <v/>
      </c>
      <c r="L20" s="34"/>
      <c r="M20" s="34"/>
      <c r="N20" s="33"/>
      <c r="O20" s="34"/>
      <c r="P20" s="31"/>
    </row>
    <row r="21" customFormat="false" ht="19.5" hidden="false" customHeight="true" outlineLevel="0" collapsed="false">
      <c r="B21" s="30"/>
      <c r="C21" s="30"/>
      <c r="D21" s="30"/>
      <c r="E21" s="30"/>
      <c r="F21" s="30"/>
      <c r="G21" s="30"/>
      <c r="H21" s="32"/>
      <c r="I21" s="32"/>
      <c r="J21" s="32"/>
      <c r="K21" s="32" t="str">
        <f aca="false">IF(I21="","",I21-J21)</f>
        <v/>
      </c>
      <c r="L21" s="34"/>
      <c r="M21" s="34"/>
      <c r="N21" s="33"/>
      <c r="O21" s="34"/>
      <c r="P21" s="31"/>
    </row>
    <row r="22" customFormat="false" ht="19.5" hidden="false" customHeight="true" outlineLevel="0" collapsed="false">
      <c r="B22" s="30"/>
      <c r="C22" s="30"/>
      <c r="D22" s="30"/>
      <c r="E22" s="30"/>
      <c r="F22" s="30"/>
      <c r="G22" s="30"/>
      <c r="H22" s="32"/>
      <c r="I22" s="32"/>
      <c r="J22" s="32"/>
      <c r="K22" s="32" t="str">
        <f aca="false">IF(I22="","",I22-J22)</f>
        <v/>
      </c>
      <c r="L22" s="34"/>
      <c r="M22" s="34"/>
      <c r="N22" s="33"/>
      <c r="O22" s="34"/>
      <c r="P22" s="31"/>
    </row>
    <row r="23" customFormat="false" ht="19.5" hidden="false" customHeight="true" outlineLevel="0" collapsed="false">
      <c r="B23" s="30"/>
      <c r="C23" s="30"/>
      <c r="D23" s="30"/>
      <c r="E23" s="30"/>
      <c r="F23" s="30"/>
      <c r="G23" s="30"/>
      <c r="H23" s="32"/>
      <c r="I23" s="32"/>
      <c r="J23" s="32"/>
      <c r="K23" s="32" t="str">
        <f aca="false">IF(I23="","",I23-J23)</f>
        <v/>
      </c>
      <c r="L23" s="34"/>
      <c r="M23" s="34"/>
      <c r="N23" s="33"/>
      <c r="O23" s="34"/>
      <c r="P23" s="31"/>
    </row>
    <row r="24" customFormat="false" ht="19.5" hidden="false" customHeight="true" outlineLevel="0" collapsed="false">
      <c r="B24" s="30"/>
      <c r="C24" s="30"/>
      <c r="D24" s="30"/>
      <c r="E24" s="30"/>
      <c r="F24" s="30"/>
      <c r="G24" s="30"/>
      <c r="H24" s="32"/>
      <c r="I24" s="32"/>
      <c r="J24" s="32"/>
      <c r="K24" s="32" t="str">
        <f aca="false">IF(I24="","",I24-J24)</f>
        <v/>
      </c>
      <c r="L24" s="34"/>
      <c r="M24" s="34"/>
      <c r="N24" s="33"/>
      <c r="O24" s="34"/>
      <c r="P24" s="31"/>
    </row>
    <row r="25" customFormat="false" ht="19.5" hidden="false" customHeight="true" outlineLevel="0" collapsed="false">
      <c r="B25" s="30"/>
      <c r="C25" s="30"/>
      <c r="D25" s="30"/>
      <c r="E25" s="30"/>
      <c r="F25" s="30"/>
      <c r="G25" s="30"/>
      <c r="H25" s="32"/>
      <c r="I25" s="32"/>
      <c r="J25" s="32"/>
      <c r="K25" s="32" t="str">
        <f aca="false">IF(I25="","",I25-J25)</f>
        <v/>
      </c>
      <c r="L25" s="34"/>
      <c r="M25" s="34"/>
      <c r="N25" s="33"/>
      <c r="O25" s="34"/>
      <c r="P25" s="31"/>
    </row>
    <row r="26" customFormat="false" ht="19.5" hidden="false" customHeight="true" outlineLevel="0" collapsed="false">
      <c r="B26" s="30"/>
      <c r="C26" s="30"/>
      <c r="D26" s="30"/>
      <c r="E26" s="30"/>
      <c r="F26" s="30"/>
      <c r="G26" s="30"/>
      <c r="H26" s="32"/>
      <c r="I26" s="32"/>
      <c r="J26" s="32"/>
      <c r="K26" s="32" t="str">
        <f aca="false">IF(I26="","",I26-J26)</f>
        <v/>
      </c>
      <c r="L26" s="34"/>
      <c r="M26" s="34"/>
      <c r="N26" s="33"/>
      <c r="O26" s="34"/>
      <c r="P26" s="31"/>
    </row>
    <row r="27" customFormat="false" ht="19.5" hidden="false" customHeight="true" outlineLevel="0" collapsed="false">
      <c r="B27" s="30"/>
      <c r="C27" s="30"/>
      <c r="D27" s="30"/>
      <c r="E27" s="30"/>
      <c r="F27" s="30"/>
      <c r="G27" s="30"/>
      <c r="H27" s="32"/>
      <c r="I27" s="32"/>
      <c r="J27" s="32"/>
      <c r="K27" s="32" t="str">
        <f aca="false">IF(I27="","",I27-J27)</f>
        <v/>
      </c>
      <c r="L27" s="34"/>
      <c r="M27" s="34"/>
      <c r="N27" s="33"/>
      <c r="O27" s="34"/>
      <c r="P27" s="31"/>
    </row>
    <row r="28" customFormat="false" ht="19.5" hidden="false" customHeight="true" outlineLevel="0" collapsed="false">
      <c r="B28" s="30"/>
      <c r="C28" s="30"/>
      <c r="D28" s="30"/>
      <c r="E28" s="30"/>
      <c r="F28" s="30"/>
      <c r="G28" s="30"/>
      <c r="H28" s="32"/>
      <c r="I28" s="32"/>
      <c r="J28" s="32"/>
      <c r="K28" s="32" t="str">
        <f aca="false">IF(I28="","",I28-J28)</f>
        <v/>
      </c>
      <c r="L28" s="34"/>
      <c r="M28" s="34"/>
      <c r="N28" s="33"/>
      <c r="O28" s="34"/>
      <c r="P28" s="31"/>
    </row>
    <row r="29" customFormat="false" ht="19.5" hidden="false" customHeight="true" outlineLevel="0" collapsed="false">
      <c r="B29" s="30"/>
      <c r="C29" s="30"/>
      <c r="D29" s="30"/>
      <c r="E29" s="30"/>
      <c r="F29" s="30"/>
      <c r="G29" s="30"/>
      <c r="H29" s="32"/>
      <c r="I29" s="32"/>
      <c r="J29" s="32"/>
      <c r="K29" s="32" t="str">
        <f aca="false">IF(I29="","",I29-J29)</f>
        <v/>
      </c>
      <c r="L29" s="34"/>
      <c r="M29" s="34"/>
      <c r="N29" s="33"/>
      <c r="O29" s="34"/>
      <c r="P29" s="31"/>
    </row>
    <row r="30" customFormat="false" ht="19.5" hidden="false" customHeight="true" outlineLevel="0" collapsed="false">
      <c r="B30" s="30"/>
      <c r="C30" s="30"/>
      <c r="D30" s="30"/>
      <c r="E30" s="30"/>
      <c r="F30" s="30"/>
      <c r="G30" s="30"/>
      <c r="H30" s="32"/>
      <c r="I30" s="32"/>
      <c r="J30" s="32"/>
      <c r="K30" s="32" t="str">
        <f aca="false">IF(I30="","",I30-J30)</f>
        <v/>
      </c>
      <c r="L30" s="34"/>
      <c r="M30" s="34"/>
      <c r="N30" s="33"/>
      <c r="O30" s="34"/>
      <c r="P30" s="31"/>
    </row>
    <row r="31" customFormat="false" ht="19.5" hidden="false" customHeight="true" outlineLevel="0" collapsed="false">
      <c r="B31" s="30"/>
      <c r="C31" s="30"/>
      <c r="D31" s="30"/>
      <c r="E31" s="30"/>
      <c r="F31" s="30"/>
      <c r="G31" s="30"/>
      <c r="H31" s="32"/>
      <c r="I31" s="32"/>
      <c r="J31" s="32"/>
      <c r="K31" s="32" t="str">
        <f aca="false">IF(I31="","",I31-J31)</f>
        <v/>
      </c>
      <c r="L31" s="34"/>
      <c r="M31" s="34"/>
      <c r="N31" s="33"/>
      <c r="O31" s="34"/>
      <c r="P31" s="31"/>
    </row>
    <row r="33" customFormat="false" ht="15" hidden="false" customHeight="false" outlineLevel="0" collapsed="false">
      <c r="B33" s="16" t="s">
        <v>99</v>
      </c>
    </row>
    <row r="34" customFormat="false" ht="15" hidden="false" customHeight="false" outlineLevel="0" collapsed="false">
      <c r="B34" s="22" t="n">
        <f aca="false">COUNTA(B6:B31)</f>
        <v>0</v>
      </c>
      <c r="C34" s="22"/>
      <c r="D34" s="22"/>
      <c r="E34" s="22" t="n">
        <f aca="false">COUNTIF(L6:L31,"Signed")</f>
        <v>0</v>
      </c>
      <c r="F34" s="22"/>
      <c r="G34" s="22"/>
      <c r="H34" s="17" t="n">
        <f aca="false">SUM(K6:K31)</f>
        <v>0</v>
      </c>
      <c r="I34" s="17"/>
      <c r="J34" s="17"/>
      <c r="K34" s="22" t="n">
        <f aca="false">COUNTIF(M6:M31,"Overdue")</f>
        <v>0</v>
      </c>
      <c r="L34" s="22"/>
      <c r="M34" s="22"/>
    </row>
    <row r="35" customFormat="false" ht="15" hidden="false" customHeight="false" outlineLevel="0" collapsed="false">
      <c r="B35" s="22"/>
      <c r="C35" s="22"/>
      <c r="D35" s="22"/>
      <c r="E35" s="22"/>
      <c r="F35" s="22"/>
      <c r="G35" s="22"/>
      <c r="H35" s="17"/>
      <c r="I35" s="17"/>
      <c r="J35" s="17"/>
      <c r="K35" s="22"/>
      <c r="L35" s="22"/>
      <c r="M35" s="22"/>
    </row>
    <row r="36" customFormat="false" ht="15" hidden="false" customHeight="false" outlineLevel="0" collapsed="false">
      <c r="B36" s="21" t="s">
        <v>100</v>
      </c>
      <c r="C36" s="21"/>
      <c r="D36" s="21"/>
      <c r="E36" s="21" t="s">
        <v>101</v>
      </c>
      <c r="F36" s="21"/>
      <c r="G36" s="21"/>
      <c r="H36" s="21" t="s">
        <v>102</v>
      </c>
      <c r="I36" s="21"/>
      <c r="J36" s="21"/>
      <c r="K36" s="21" t="s">
        <v>63</v>
      </c>
      <c r="L36" s="21"/>
      <c r="M36" s="21"/>
    </row>
  </sheetData>
  <autoFilter ref="B5:P31"/>
  <mergeCells count="8">
    <mergeCell ref="B34:D35"/>
    <mergeCell ref="E34:G35"/>
    <mergeCell ref="H34:J35"/>
    <mergeCell ref="K34:M35"/>
    <mergeCell ref="B36:D36"/>
    <mergeCell ref="E36:G36"/>
    <mergeCell ref="H36:J36"/>
    <mergeCell ref="K36:M36"/>
  </mergeCells>
  <conditionalFormatting sqref="L6:L31">
    <cfRule type="expression" priority="2" aboveAverage="0" equalAverage="0" bottom="0" percent="0" rank="0" text="" dxfId="4">
      <formula>EXACT(TRIM(L6),"Signed")</formula>
    </cfRule>
    <cfRule type="expression" priority="3" aboveAverage="0" equalAverage="0" bottom="0" percent="0" rank="0" text="" dxfId="7">
      <formula>EXACT(TRIM(L6),"Sent")</formula>
    </cfRule>
    <cfRule type="expression" priority="4" aboveAverage="0" equalAverage="0" bottom="0" percent="0" rank="0" text="" dxfId="5">
      <formula>EXACT(TRIM(L6),"Not Sent")</formula>
    </cfRule>
  </conditionalFormatting>
  <conditionalFormatting sqref="M6:M31">
    <cfRule type="expression" priority="5" aboveAverage="0" equalAverage="0" bottom="0" percent="0" rank="0" text="" dxfId="4">
      <formula>EXACT(TRIM(M6),"Paid in Full")</formula>
    </cfRule>
    <cfRule type="expression" priority="6" aboveAverage="0" equalAverage="0" bottom="0" percent="0" rank="0" text="" dxfId="5">
      <formula>EXACT(TRIM(M6),"Overdue")</formula>
    </cfRule>
    <cfRule type="expression" priority="7" aboveAverage="0" equalAverage="0" bottom="0" percent="0" rank="0" text="" dxfId="6">
      <formula>EXACT(TRIM(M6),"Deposit Paid")</formula>
    </cfRule>
    <cfRule type="expression" priority="8" aboveAverage="0" equalAverage="0" bottom="0" percent="0" rank="0" text="" dxfId="7">
      <formula>EXACT(TRIM(M6),"Not Started")</formula>
    </cfRule>
  </conditionalFormatting>
  <dataValidations count="4">
    <dataValidation allowBlank="true" error="Please choose a value from the list." errorStyle="stop" errorTitle="Invalid entry" operator="between" showDropDown="false" showErrorMessage="false" showInputMessage="false" sqref="C6:C31" type="list">
      <formula1>Lists!$F$2:$F$21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L6:L31" type="list">
      <formula1>Lists!$E$2:$E$5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M6:M31" type="list">
      <formula1>Lists!$B$2:$B$6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O6:O31" type="list">
      <formula1>Lists!$Q$2:$Q$6</formula1>
      <formula2>0</formula2>
    </dataValidation>
  </dataValidations>
  <hyperlinks>
    <hyperlink ref="B1" r:id="rId1" location="'Dashboard'!A1" display="‹ Dashboard"/>
    <hyperlink ref="C1" r:id="rId2" location="'START%20HERE'!A1" display="‹ Start Here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tableParts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true"/>
  </sheetPr>
  <dimension ref="A1:P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20"/>
    <col collapsed="false" customWidth="true" hidden="false" outlineLevel="0" max="12" min="12" style="0" width="17"/>
    <col collapsed="false" customWidth="true" hidden="false" outlineLevel="0" max="13" min="13" style="0" width="22"/>
    <col collapsed="false" customWidth="true" hidden="false" outlineLevel="0" max="14" min="14" style="0" width="20"/>
    <col collapsed="false" customWidth="true" hidden="false" outlineLevel="0" max="15" min="15" style="0" width="14"/>
    <col collapsed="false" customWidth="true" hidden="false" outlineLevel="0" max="16" min="16" style="0" width="20"/>
  </cols>
  <sheetData>
    <row r="1" customFormat="false" ht="7.5" hidden="false" customHeight="true" outlineLevel="0" collapsed="false">
      <c r="A1" s="9"/>
      <c r="B1" s="10" t="s">
        <v>66</v>
      </c>
      <c r="C1" s="10" t="s">
        <v>42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customFormat="false" ht="30" hidden="false" customHeight="true" outlineLevel="0" collapsed="false">
      <c r="A2" s="9"/>
      <c r="B2" s="27" t="s">
        <v>103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customFormat="false" ht="19.5" hidden="false" customHeight="true" outlineLevel="0" collapsed="false">
      <c r="A3" s="15"/>
      <c r="B3" s="28" t="s">
        <v>104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5" customFormat="false" ht="15" hidden="false" customHeight="false" outlineLevel="0" collapsed="false">
      <c r="B5" s="29" t="s">
        <v>105</v>
      </c>
      <c r="C5" s="29" t="s">
        <v>106</v>
      </c>
      <c r="D5" s="29" t="s">
        <v>107</v>
      </c>
      <c r="E5" s="29" t="s">
        <v>108</v>
      </c>
      <c r="F5" s="29" t="s">
        <v>92</v>
      </c>
      <c r="G5" s="29" t="s">
        <v>91</v>
      </c>
      <c r="H5" s="29" t="s">
        <v>109</v>
      </c>
      <c r="I5" s="29" t="s">
        <v>110</v>
      </c>
      <c r="J5" s="29" t="s">
        <v>111</v>
      </c>
      <c r="K5" s="29" t="s">
        <v>112</v>
      </c>
      <c r="L5" s="29" t="s">
        <v>113</v>
      </c>
      <c r="M5" s="29" t="s">
        <v>114</v>
      </c>
      <c r="N5" s="29" t="s">
        <v>115</v>
      </c>
      <c r="O5" s="29" t="s">
        <v>116</v>
      </c>
      <c r="P5" s="29" t="s">
        <v>81</v>
      </c>
    </row>
    <row r="6" customFormat="false" ht="19.5" hidden="false" customHeight="true" outlineLevel="0" collapsed="false">
      <c r="B6" s="30"/>
      <c r="C6" s="30"/>
      <c r="D6" s="34"/>
      <c r="E6" s="30"/>
      <c r="F6" s="30"/>
      <c r="G6" s="30"/>
      <c r="H6" s="34"/>
      <c r="I6" s="34"/>
      <c r="J6" s="34"/>
      <c r="K6" s="30"/>
      <c r="L6" s="34"/>
      <c r="M6" s="30"/>
      <c r="N6" s="34"/>
      <c r="O6" s="34"/>
      <c r="P6" s="31"/>
    </row>
    <row r="7" customFormat="false" ht="19.5" hidden="false" customHeight="true" outlineLevel="0" collapsed="false">
      <c r="B7" s="30"/>
      <c r="C7" s="30"/>
      <c r="D7" s="34"/>
      <c r="E7" s="30"/>
      <c r="F7" s="30"/>
      <c r="G7" s="30"/>
      <c r="H7" s="34"/>
      <c r="I7" s="34"/>
      <c r="J7" s="34"/>
      <c r="K7" s="30"/>
      <c r="L7" s="34"/>
      <c r="M7" s="30"/>
      <c r="N7" s="34"/>
      <c r="O7" s="34"/>
      <c r="P7" s="31"/>
    </row>
    <row r="8" customFormat="false" ht="19.5" hidden="false" customHeight="true" outlineLevel="0" collapsed="false">
      <c r="B8" s="30"/>
      <c r="C8" s="30"/>
      <c r="D8" s="34"/>
      <c r="E8" s="30"/>
      <c r="F8" s="30"/>
      <c r="G8" s="30"/>
      <c r="H8" s="34"/>
      <c r="I8" s="34"/>
      <c r="J8" s="34"/>
      <c r="K8" s="30"/>
      <c r="L8" s="34"/>
      <c r="M8" s="30"/>
      <c r="N8" s="34"/>
      <c r="O8" s="34"/>
      <c r="P8" s="31"/>
    </row>
    <row r="9" customFormat="false" ht="19.5" hidden="false" customHeight="true" outlineLevel="0" collapsed="false">
      <c r="B9" s="30"/>
      <c r="C9" s="30"/>
      <c r="D9" s="34"/>
      <c r="E9" s="30"/>
      <c r="F9" s="30"/>
      <c r="G9" s="30"/>
      <c r="H9" s="34"/>
      <c r="I9" s="34"/>
      <c r="J9" s="34"/>
      <c r="K9" s="30"/>
      <c r="L9" s="34"/>
      <c r="M9" s="30"/>
      <c r="N9" s="34"/>
      <c r="O9" s="34"/>
      <c r="P9" s="31"/>
    </row>
    <row r="10" customFormat="false" ht="19.5" hidden="false" customHeight="true" outlineLevel="0" collapsed="false">
      <c r="B10" s="30"/>
      <c r="C10" s="30"/>
      <c r="D10" s="34"/>
      <c r="E10" s="30"/>
      <c r="F10" s="30"/>
      <c r="G10" s="30"/>
      <c r="H10" s="34"/>
      <c r="I10" s="34"/>
      <c r="J10" s="34"/>
      <c r="K10" s="30"/>
      <c r="L10" s="34"/>
      <c r="M10" s="30"/>
      <c r="N10" s="34"/>
      <c r="O10" s="34"/>
      <c r="P10" s="31"/>
    </row>
    <row r="11" customFormat="false" ht="19.5" hidden="false" customHeight="true" outlineLevel="0" collapsed="false">
      <c r="B11" s="30"/>
      <c r="C11" s="30"/>
      <c r="D11" s="34"/>
      <c r="E11" s="30"/>
      <c r="F11" s="30"/>
      <c r="G11" s="30"/>
      <c r="H11" s="34"/>
      <c r="I11" s="34"/>
      <c r="J11" s="34"/>
      <c r="K11" s="30"/>
      <c r="L11" s="34"/>
      <c r="M11" s="30"/>
      <c r="N11" s="34"/>
      <c r="O11" s="34"/>
      <c r="P11" s="31"/>
    </row>
    <row r="12" customFormat="false" ht="19.5" hidden="false" customHeight="true" outlineLevel="0" collapsed="false">
      <c r="B12" s="30"/>
      <c r="C12" s="30"/>
      <c r="D12" s="34"/>
      <c r="E12" s="30"/>
      <c r="F12" s="30"/>
      <c r="G12" s="30"/>
      <c r="H12" s="34"/>
      <c r="I12" s="34"/>
      <c r="J12" s="34"/>
      <c r="K12" s="30"/>
      <c r="L12" s="34"/>
      <c r="M12" s="30"/>
      <c r="N12" s="34"/>
      <c r="O12" s="34"/>
      <c r="P12" s="31"/>
    </row>
    <row r="13" customFormat="false" ht="19.5" hidden="false" customHeight="true" outlineLevel="0" collapsed="false">
      <c r="B13" s="30"/>
      <c r="C13" s="30"/>
      <c r="D13" s="34"/>
      <c r="E13" s="30"/>
      <c r="F13" s="30"/>
      <c r="G13" s="30"/>
      <c r="H13" s="34"/>
      <c r="I13" s="34"/>
      <c r="J13" s="34"/>
      <c r="K13" s="30"/>
      <c r="L13" s="34"/>
      <c r="M13" s="30"/>
      <c r="N13" s="34"/>
      <c r="O13" s="34"/>
      <c r="P13" s="31"/>
    </row>
    <row r="14" customFormat="false" ht="19.5" hidden="false" customHeight="true" outlineLevel="0" collapsed="false">
      <c r="B14" s="30"/>
      <c r="C14" s="30"/>
      <c r="D14" s="34"/>
      <c r="E14" s="30"/>
      <c r="F14" s="30"/>
      <c r="G14" s="30"/>
      <c r="H14" s="34"/>
      <c r="I14" s="34"/>
      <c r="J14" s="34"/>
      <c r="K14" s="30"/>
      <c r="L14" s="34"/>
      <c r="M14" s="30"/>
      <c r="N14" s="34"/>
      <c r="O14" s="34"/>
      <c r="P14" s="31"/>
    </row>
    <row r="15" customFormat="false" ht="19.5" hidden="false" customHeight="true" outlineLevel="0" collapsed="false">
      <c r="B15" s="30"/>
      <c r="C15" s="30"/>
      <c r="D15" s="34"/>
      <c r="E15" s="30"/>
      <c r="F15" s="30"/>
      <c r="G15" s="30"/>
      <c r="H15" s="34"/>
      <c r="I15" s="34"/>
      <c r="J15" s="34"/>
      <c r="K15" s="30"/>
      <c r="L15" s="34"/>
      <c r="M15" s="30"/>
      <c r="N15" s="34"/>
      <c r="O15" s="34"/>
      <c r="P15" s="31"/>
    </row>
    <row r="16" customFormat="false" ht="19.5" hidden="false" customHeight="true" outlineLevel="0" collapsed="false">
      <c r="B16" s="30"/>
      <c r="C16" s="30"/>
      <c r="D16" s="34"/>
      <c r="E16" s="30"/>
      <c r="F16" s="30"/>
      <c r="G16" s="30"/>
      <c r="H16" s="34"/>
      <c r="I16" s="34"/>
      <c r="J16" s="34"/>
      <c r="K16" s="30"/>
      <c r="L16" s="34"/>
      <c r="M16" s="30"/>
      <c r="N16" s="34"/>
      <c r="O16" s="34"/>
      <c r="P16" s="31"/>
    </row>
    <row r="17" customFormat="false" ht="19.5" hidden="false" customHeight="true" outlineLevel="0" collapsed="false">
      <c r="B17" s="30"/>
      <c r="C17" s="30"/>
      <c r="D17" s="34"/>
      <c r="E17" s="30"/>
      <c r="F17" s="30"/>
      <c r="G17" s="30"/>
      <c r="H17" s="34"/>
      <c r="I17" s="34"/>
      <c r="J17" s="34"/>
      <c r="K17" s="30"/>
      <c r="L17" s="34"/>
      <c r="M17" s="30"/>
      <c r="N17" s="34"/>
      <c r="O17" s="34"/>
      <c r="P17" s="31"/>
    </row>
    <row r="18" customFormat="false" ht="19.5" hidden="false" customHeight="true" outlineLevel="0" collapsed="false">
      <c r="B18" s="30"/>
      <c r="C18" s="30"/>
      <c r="D18" s="34"/>
      <c r="E18" s="30"/>
      <c r="F18" s="30"/>
      <c r="G18" s="30"/>
      <c r="H18" s="34"/>
      <c r="I18" s="34"/>
      <c r="J18" s="34"/>
      <c r="K18" s="30"/>
      <c r="L18" s="34"/>
      <c r="M18" s="30"/>
      <c r="N18" s="34"/>
      <c r="O18" s="34"/>
      <c r="P18" s="31"/>
    </row>
    <row r="19" customFormat="false" ht="19.5" hidden="false" customHeight="true" outlineLevel="0" collapsed="false">
      <c r="B19" s="30"/>
      <c r="C19" s="30"/>
      <c r="D19" s="34"/>
      <c r="E19" s="30"/>
      <c r="F19" s="30"/>
      <c r="G19" s="30"/>
      <c r="H19" s="34"/>
      <c r="I19" s="34"/>
      <c r="J19" s="34"/>
      <c r="K19" s="30"/>
      <c r="L19" s="34"/>
      <c r="M19" s="30"/>
      <c r="N19" s="34"/>
      <c r="O19" s="34"/>
      <c r="P19" s="31"/>
    </row>
    <row r="20" customFormat="false" ht="19.5" hidden="false" customHeight="true" outlineLevel="0" collapsed="false">
      <c r="B20" s="30"/>
      <c r="C20" s="30"/>
      <c r="D20" s="34"/>
      <c r="E20" s="30"/>
      <c r="F20" s="30"/>
      <c r="G20" s="30"/>
      <c r="H20" s="34"/>
      <c r="I20" s="34"/>
      <c r="J20" s="34"/>
      <c r="K20" s="30"/>
      <c r="L20" s="34"/>
      <c r="M20" s="30"/>
      <c r="N20" s="34"/>
      <c r="O20" s="34"/>
      <c r="P20" s="31"/>
    </row>
    <row r="21" customFormat="false" ht="19.5" hidden="false" customHeight="true" outlineLevel="0" collapsed="false">
      <c r="B21" s="30"/>
      <c r="C21" s="30"/>
      <c r="D21" s="34"/>
      <c r="E21" s="30"/>
      <c r="F21" s="30"/>
      <c r="G21" s="30"/>
      <c r="H21" s="34"/>
      <c r="I21" s="34"/>
      <c r="J21" s="34"/>
      <c r="K21" s="30"/>
      <c r="L21" s="34"/>
      <c r="M21" s="30"/>
      <c r="N21" s="34"/>
      <c r="O21" s="34"/>
      <c r="P21" s="31"/>
    </row>
    <row r="22" customFormat="false" ht="19.5" hidden="false" customHeight="true" outlineLevel="0" collapsed="false">
      <c r="B22" s="30"/>
      <c r="C22" s="30"/>
      <c r="D22" s="34"/>
      <c r="E22" s="30"/>
      <c r="F22" s="30"/>
      <c r="G22" s="30"/>
      <c r="H22" s="34"/>
      <c r="I22" s="34"/>
      <c r="J22" s="34"/>
      <c r="K22" s="30"/>
      <c r="L22" s="34"/>
      <c r="M22" s="30"/>
      <c r="N22" s="34"/>
      <c r="O22" s="34"/>
      <c r="P22" s="31"/>
    </row>
    <row r="23" customFormat="false" ht="19.5" hidden="false" customHeight="true" outlineLevel="0" collapsed="false">
      <c r="B23" s="30"/>
      <c r="C23" s="30"/>
      <c r="D23" s="34"/>
      <c r="E23" s="30"/>
      <c r="F23" s="30"/>
      <c r="G23" s="30"/>
      <c r="H23" s="34"/>
      <c r="I23" s="34"/>
      <c r="J23" s="34"/>
      <c r="K23" s="30"/>
      <c r="L23" s="34"/>
      <c r="M23" s="30"/>
      <c r="N23" s="34"/>
      <c r="O23" s="34"/>
      <c r="P23" s="31"/>
    </row>
    <row r="24" customFormat="false" ht="19.5" hidden="false" customHeight="true" outlineLevel="0" collapsed="false">
      <c r="B24" s="30"/>
      <c r="C24" s="30"/>
      <c r="D24" s="34"/>
      <c r="E24" s="30"/>
      <c r="F24" s="30"/>
      <c r="G24" s="30"/>
      <c r="H24" s="34"/>
      <c r="I24" s="34"/>
      <c r="J24" s="34"/>
      <c r="K24" s="30"/>
      <c r="L24" s="34"/>
      <c r="M24" s="30"/>
      <c r="N24" s="34"/>
      <c r="O24" s="34"/>
      <c r="P24" s="31"/>
    </row>
    <row r="25" customFormat="false" ht="19.5" hidden="false" customHeight="true" outlineLevel="0" collapsed="false">
      <c r="B25" s="30"/>
      <c r="C25" s="30"/>
      <c r="D25" s="34"/>
      <c r="E25" s="30"/>
      <c r="F25" s="30"/>
      <c r="G25" s="30"/>
      <c r="H25" s="34"/>
      <c r="I25" s="34"/>
      <c r="J25" s="34"/>
      <c r="K25" s="30"/>
      <c r="L25" s="34"/>
      <c r="M25" s="30"/>
      <c r="N25" s="34"/>
      <c r="O25" s="34"/>
      <c r="P25" s="31"/>
    </row>
    <row r="26" customFormat="false" ht="19.5" hidden="false" customHeight="true" outlineLevel="0" collapsed="false">
      <c r="B26" s="30"/>
      <c r="C26" s="30"/>
      <c r="D26" s="34"/>
      <c r="E26" s="30"/>
      <c r="F26" s="30"/>
      <c r="G26" s="30"/>
      <c r="H26" s="34"/>
      <c r="I26" s="34"/>
      <c r="J26" s="34"/>
      <c r="K26" s="30"/>
      <c r="L26" s="34"/>
      <c r="M26" s="30"/>
      <c r="N26" s="34"/>
      <c r="O26" s="34"/>
      <c r="P26" s="31"/>
    </row>
    <row r="27" customFormat="false" ht="19.5" hidden="false" customHeight="true" outlineLevel="0" collapsed="false">
      <c r="B27" s="30"/>
      <c r="C27" s="30"/>
      <c r="D27" s="34"/>
      <c r="E27" s="30"/>
      <c r="F27" s="30"/>
      <c r="G27" s="30"/>
      <c r="H27" s="34"/>
      <c r="I27" s="34"/>
      <c r="J27" s="34"/>
      <c r="K27" s="30"/>
      <c r="L27" s="34"/>
      <c r="M27" s="30"/>
      <c r="N27" s="34"/>
      <c r="O27" s="34"/>
      <c r="P27" s="31"/>
    </row>
    <row r="28" customFormat="false" ht="19.5" hidden="false" customHeight="true" outlineLevel="0" collapsed="false">
      <c r="B28" s="30"/>
      <c r="C28" s="30"/>
      <c r="D28" s="34"/>
      <c r="E28" s="30"/>
      <c r="F28" s="30"/>
      <c r="G28" s="30"/>
      <c r="H28" s="34"/>
      <c r="I28" s="34"/>
      <c r="J28" s="34"/>
      <c r="K28" s="30"/>
      <c r="L28" s="34"/>
      <c r="M28" s="30"/>
      <c r="N28" s="34"/>
      <c r="O28" s="34"/>
      <c r="P28" s="31"/>
    </row>
    <row r="29" customFormat="false" ht="19.5" hidden="false" customHeight="true" outlineLevel="0" collapsed="false">
      <c r="B29" s="30"/>
      <c r="C29" s="30"/>
      <c r="D29" s="34"/>
      <c r="E29" s="30"/>
      <c r="F29" s="30"/>
      <c r="G29" s="30"/>
      <c r="H29" s="34"/>
      <c r="I29" s="34"/>
      <c r="J29" s="34"/>
      <c r="K29" s="30"/>
      <c r="L29" s="34"/>
      <c r="M29" s="30"/>
      <c r="N29" s="34"/>
      <c r="O29" s="34"/>
      <c r="P29" s="31"/>
    </row>
    <row r="30" customFormat="false" ht="19.5" hidden="false" customHeight="true" outlineLevel="0" collapsed="false">
      <c r="B30" s="30"/>
      <c r="C30" s="30"/>
      <c r="D30" s="34"/>
      <c r="E30" s="30"/>
      <c r="F30" s="30"/>
      <c r="G30" s="30"/>
      <c r="H30" s="34"/>
      <c r="I30" s="34"/>
      <c r="J30" s="34"/>
      <c r="K30" s="30"/>
      <c r="L30" s="34"/>
      <c r="M30" s="30"/>
      <c r="N30" s="34"/>
      <c r="O30" s="34"/>
      <c r="P30" s="31"/>
    </row>
    <row r="31" customFormat="false" ht="19.5" hidden="false" customHeight="true" outlineLevel="0" collapsed="false">
      <c r="B31" s="30"/>
      <c r="C31" s="30"/>
      <c r="D31" s="34"/>
      <c r="E31" s="30"/>
      <c r="F31" s="30"/>
      <c r="G31" s="30"/>
      <c r="H31" s="34"/>
      <c r="I31" s="34"/>
      <c r="J31" s="34"/>
      <c r="K31" s="30"/>
      <c r="L31" s="34"/>
      <c r="M31" s="30"/>
      <c r="N31" s="34"/>
      <c r="O31" s="34"/>
      <c r="P31" s="31"/>
    </row>
    <row r="32" customFormat="false" ht="19.5" hidden="false" customHeight="true" outlineLevel="0" collapsed="false">
      <c r="B32" s="30"/>
      <c r="C32" s="30"/>
      <c r="D32" s="34"/>
      <c r="E32" s="30"/>
      <c r="F32" s="30"/>
      <c r="G32" s="30"/>
      <c r="H32" s="34"/>
      <c r="I32" s="34"/>
      <c r="J32" s="34"/>
      <c r="K32" s="30"/>
      <c r="L32" s="34"/>
      <c r="M32" s="30"/>
      <c r="N32" s="34"/>
      <c r="O32" s="34"/>
      <c r="P32" s="31"/>
    </row>
    <row r="33" customFormat="false" ht="19.5" hidden="false" customHeight="true" outlineLevel="0" collapsed="false">
      <c r="B33" s="30"/>
      <c r="C33" s="30"/>
      <c r="D33" s="34"/>
      <c r="E33" s="30"/>
      <c r="F33" s="30"/>
      <c r="G33" s="30"/>
      <c r="H33" s="34"/>
      <c r="I33" s="34"/>
      <c r="J33" s="34"/>
      <c r="K33" s="30"/>
      <c r="L33" s="34"/>
      <c r="M33" s="30"/>
      <c r="N33" s="34"/>
      <c r="O33" s="34"/>
      <c r="P33" s="31"/>
    </row>
    <row r="34" customFormat="false" ht="19.5" hidden="false" customHeight="true" outlineLevel="0" collapsed="false">
      <c r="B34" s="30"/>
      <c r="C34" s="30"/>
      <c r="D34" s="34"/>
      <c r="E34" s="30"/>
      <c r="F34" s="30"/>
      <c r="G34" s="30"/>
      <c r="H34" s="34"/>
      <c r="I34" s="34"/>
      <c r="J34" s="34"/>
      <c r="K34" s="30"/>
      <c r="L34" s="34"/>
      <c r="M34" s="30"/>
      <c r="N34" s="34"/>
      <c r="O34" s="34"/>
      <c r="P34" s="31"/>
    </row>
    <row r="35" customFormat="false" ht="19.5" hidden="false" customHeight="true" outlineLevel="0" collapsed="false">
      <c r="B35" s="30"/>
      <c r="C35" s="30"/>
      <c r="D35" s="34"/>
      <c r="E35" s="30"/>
      <c r="F35" s="30"/>
      <c r="G35" s="30"/>
      <c r="H35" s="34"/>
      <c r="I35" s="34"/>
      <c r="J35" s="34"/>
      <c r="K35" s="30"/>
      <c r="L35" s="34"/>
      <c r="M35" s="30"/>
      <c r="N35" s="34"/>
      <c r="O35" s="34"/>
      <c r="P35" s="31"/>
    </row>
    <row r="36" customFormat="false" ht="19.5" hidden="false" customHeight="true" outlineLevel="0" collapsed="false">
      <c r="B36" s="30"/>
      <c r="C36" s="30"/>
      <c r="D36" s="34"/>
      <c r="E36" s="30"/>
      <c r="F36" s="30"/>
      <c r="G36" s="30"/>
      <c r="H36" s="34"/>
      <c r="I36" s="34"/>
      <c r="J36" s="34"/>
      <c r="K36" s="30"/>
      <c r="L36" s="34"/>
      <c r="M36" s="30"/>
      <c r="N36" s="34"/>
      <c r="O36" s="34"/>
      <c r="P36" s="31"/>
    </row>
    <row r="37" customFormat="false" ht="19.5" hidden="false" customHeight="true" outlineLevel="0" collapsed="false">
      <c r="B37" s="30"/>
      <c r="C37" s="30"/>
      <c r="D37" s="34"/>
      <c r="E37" s="30"/>
      <c r="F37" s="30"/>
      <c r="G37" s="30"/>
      <c r="H37" s="34"/>
      <c r="I37" s="34"/>
      <c r="J37" s="34"/>
      <c r="K37" s="30"/>
      <c r="L37" s="34"/>
      <c r="M37" s="30"/>
      <c r="N37" s="34"/>
      <c r="O37" s="34"/>
      <c r="P37" s="31"/>
    </row>
    <row r="38" customFormat="false" ht="19.5" hidden="false" customHeight="true" outlineLevel="0" collapsed="false">
      <c r="B38" s="30"/>
      <c r="C38" s="30"/>
      <c r="D38" s="34"/>
      <c r="E38" s="30"/>
      <c r="F38" s="30"/>
      <c r="G38" s="30"/>
      <c r="H38" s="34"/>
      <c r="I38" s="34"/>
      <c r="J38" s="34"/>
      <c r="K38" s="30"/>
      <c r="L38" s="34"/>
      <c r="M38" s="30"/>
      <c r="N38" s="34"/>
      <c r="O38" s="34"/>
      <c r="P38" s="31"/>
    </row>
    <row r="39" customFormat="false" ht="19.5" hidden="false" customHeight="true" outlineLevel="0" collapsed="false">
      <c r="B39" s="30"/>
      <c r="C39" s="30"/>
      <c r="D39" s="34"/>
      <c r="E39" s="30"/>
      <c r="F39" s="30"/>
      <c r="G39" s="30"/>
      <c r="H39" s="34"/>
      <c r="I39" s="34"/>
      <c r="J39" s="34"/>
      <c r="K39" s="30"/>
      <c r="L39" s="34"/>
      <c r="M39" s="30"/>
      <c r="N39" s="34"/>
      <c r="O39" s="34"/>
      <c r="P39" s="31"/>
    </row>
    <row r="40" customFormat="false" ht="19.5" hidden="false" customHeight="true" outlineLevel="0" collapsed="false">
      <c r="B40" s="30"/>
      <c r="C40" s="30"/>
      <c r="D40" s="34"/>
      <c r="E40" s="30"/>
      <c r="F40" s="30"/>
      <c r="G40" s="30"/>
      <c r="H40" s="34"/>
      <c r="I40" s="34"/>
      <c r="J40" s="34"/>
      <c r="K40" s="30"/>
      <c r="L40" s="34"/>
      <c r="M40" s="30"/>
      <c r="N40" s="34"/>
      <c r="O40" s="34"/>
      <c r="P40" s="31"/>
    </row>
    <row r="41" customFormat="false" ht="19.5" hidden="false" customHeight="true" outlineLevel="0" collapsed="false">
      <c r="B41" s="30"/>
      <c r="C41" s="30"/>
      <c r="D41" s="34"/>
      <c r="E41" s="30"/>
      <c r="F41" s="30"/>
      <c r="G41" s="30"/>
      <c r="H41" s="34"/>
      <c r="I41" s="34"/>
      <c r="J41" s="34"/>
      <c r="K41" s="30"/>
      <c r="L41" s="34"/>
      <c r="M41" s="30"/>
      <c r="N41" s="34"/>
      <c r="O41" s="34"/>
      <c r="P41" s="31"/>
    </row>
    <row r="42" customFormat="false" ht="19.5" hidden="false" customHeight="true" outlineLevel="0" collapsed="false">
      <c r="B42" s="30"/>
      <c r="C42" s="30"/>
      <c r="D42" s="34"/>
      <c r="E42" s="30"/>
      <c r="F42" s="30"/>
      <c r="G42" s="30"/>
      <c r="H42" s="34"/>
      <c r="I42" s="34"/>
      <c r="J42" s="34"/>
      <c r="K42" s="30"/>
      <c r="L42" s="34"/>
      <c r="M42" s="30"/>
      <c r="N42" s="34"/>
      <c r="O42" s="34"/>
      <c r="P42" s="31"/>
    </row>
    <row r="43" customFormat="false" ht="19.5" hidden="false" customHeight="true" outlineLevel="0" collapsed="false">
      <c r="B43" s="30"/>
      <c r="C43" s="30"/>
      <c r="D43" s="34"/>
      <c r="E43" s="30"/>
      <c r="F43" s="30"/>
      <c r="G43" s="30"/>
      <c r="H43" s="34"/>
      <c r="I43" s="34"/>
      <c r="J43" s="34"/>
      <c r="K43" s="30"/>
      <c r="L43" s="34"/>
      <c r="M43" s="30"/>
      <c r="N43" s="34"/>
      <c r="O43" s="34"/>
      <c r="P43" s="31"/>
    </row>
    <row r="44" customFormat="false" ht="19.5" hidden="false" customHeight="true" outlineLevel="0" collapsed="false">
      <c r="B44" s="30"/>
      <c r="C44" s="30"/>
      <c r="D44" s="34"/>
      <c r="E44" s="30"/>
      <c r="F44" s="30"/>
      <c r="G44" s="30"/>
      <c r="H44" s="34"/>
      <c r="I44" s="34"/>
      <c r="J44" s="34"/>
      <c r="K44" s="30"/>
      <c r="L44" s="34"/>
      <c r="M44" s="30"/>
      <c r="N44" s="34"/>
      <c r="O44" s="34"/>
      <c r="P44" s="31"/>
    </row>
    <row r="45" customFormat="false" ht="19.5" hidden="false" customHeight="true" outlineLevel="0" collapsed="false">
      <c r="B45" s="30"/>
      <c r="C45" s="30"/>
      <c r="D45" s="34"/>
      <c r="E45" s="30"/>
      <c r="F45" s="30"/>
      <c r="G45" s="30"/>
      <c r="H45" s="34"/>
      <c r="I45" s="34"/>
      <c r="J45" s="34"/>
      <c r="K45" s="30"/>
      <c r="L45" s="34"/>
      <c r="M45" s="30"/>
      <c r="N45" s="34"/>
      <c r="O45" s="34"/>
      <c r="P45" s="31"/>
    </row>
    <row r="46" customFormat="false" ht="19.5" hidden="false" customHeight="true" outlineLevel="0" collapsed="false">
      <c r="B46" s="30"/>
      <c r="C46" s="30"/>
      <c r="D46" s="34"/>
      <c r="E46" s="30"/>
      <c r="F46" s="30"/>
      <c r="G46" s="30"/>
      <c r="H46" s="34"/>
      <c r="I46" s="34"/>
      <c r="J46" s="34"/>
      <c r="K46" s="30"/>
      <c r="L46" s="34"/>
      <c r="M46" s="30"/>
      <c r="N46" s="34"/>
      <c r="O46" s="34"/>
      <c r="P46" s="31"/>
    </row>
    <row r="47" customFormat="false" ht="19.5" hidden="false" customHeight="true" outlineLevel="0" collapsed="false">
      <c r="B47" s="30"/>
      <c r="C47" s="30"/>
      <c r="D47" s="34"/>
      <c r="E47" s="30"/>
      <c r="F47" s="30"/>
      <c r="G47" s="30"/>
      <c r="H47" s="34"/>
      <c r="I47" s="34"/>
      <c r="J47" s="34"/>
      <c r="K47" s="30"/>
      <c r="L47" s="34"/>
      <c r="M47" s="30"/>
      <c r="N47" s="34"/>
      <c r="O47" s="34"/>
      <c r="P47" s="31"/>
    </row>
    <row r="48" customFormat="false" ht="19.5" hidden="false" customHeight="true" outlineLevel="0" collapsed="false">
      <c r="B48" s="30"/>
      <c r="C48" s="30"/>
      <c r="D48" s="34"/>
      <c r="E48" s="30"/>
      <c r="F48" s="30"/>
      <c r="G48" s="30"/>
      <c r="H48" s="34"/>
      <c r="I48" s="34"/>
      <c r="J48" s="34"/>
      <c r="K48" s="30"/>
      <c r="L48" s="34"/>
      <c r="M48" s="30"/>
      <c r="N48" s="34"/>
      <c r="O48" s="34"/>
      <c r="P48" s="31"/>
    </row>
    <row r="49" customFormat="false" ht="19.5" hidden="false" customHeight="true" outlineLevel="0" collapsed="false">
      <c r="B49" s="30"/>
      <c r="C49" s="30"/>
      <c r="D49" s="34"/>
      <c r="E49" s="30"/>
      <c r="F49" s="30"/>
      <c r="G49" s="30"/>
      <c r="H49" s="34"/>
      <c r="I49" s="34"/>
      <c r="J49" s="34"/>
      <c r="K49" s="30"/>
      <c r="L49" s="34"/>
      <c r="M49" s="30"/>
      <c r="N49" s="34"/>
      <c r="O49" s="34"/>
      <c r="P49" s="31"/>
    </row>
    <row r="50" customFormat="false" ht="19.5" hidden="false" customHeight="true" outlineLevel="0" collapsed="false">
      <c r="B50" s="30"/>
      <c r="C50" s="30"/>
      <c r="D50" s="34"/>
      <c r="E50" s="30"/>
      <c r="F50" s="30"/>
      <c r="G50" s="30"/>
      <c r="H50" s="34"/>
      <c r="I50" s="34"/>
      <c r="J50" s="34"/>
      <c r="K50" s="30"/>
      <c r="L50" s="34"/>
      <c r="M50" s="30"/>
      <c r="N50" s="34"/>
      <c r="O50" s="34"/>
      <c r="P50" s="31"/>
    </row>
    <row r="51" customFormat="false" ht="19.5" hidden="false" customHeight="true" outlineLevel="0" collapsed="false">
      <c r="B51" s="30"/>
      <c r="C51" s="30"/>
      <c r="D51" s="34"/>
      <c r="E51" s="30"/>
      <c r="F51" s="30"/>
      <c r="G51" s="30"/>
      <c r="H51" s="34"/>
      <c r="I51" s="34"/>
      <c r="J51" s="34"/>
      <c r="K51" s="30"/>
      <c r="L51" s="34"/>
      <c r="M51" s="30"/>
      <c r="N51" s="34"/>
      <c r="O51" s="34"/>
      <c r="P51" s="31"/>
    </row>
    <row r="52" customFormat="false" ht="19.5" hidden="false" customHeight="true" outlineLevel="0" collapsed="false">
      <c r="B52" s="30"/>
      <c r="C52" s="30"/>
      <c r="D52" s="34"/>
      <c r="E52" s="30"/>
      <c r="F52" s="30"/>
      <c r="G52" s="30"/>
      <c r="H52" s="34"/>
      <c r="I52" s="34"/>
      <c r="J52" s="34"/>
      <c r="K52" s="30"/>
      <c r="L52" s="34"/>
      <c r="M52" s="30"/>
      <c r="N52" s="34"/>
      <c r="O52" s="34"/>
      <c r="P52" s="31"/>
    </row>
    <row r="53" customFormat="false" ht="19.5" hidden="false" customHeight="true" outlineLevel="0" collapsed="false">
      <c r="B53" s="30"/>
      <c r="C53" s="30"/>
      <c r="D53" s="34"/>
      <c r="E53" s="30"/>
      <c r="F53" s="30"/>
      <c r="G53" s="30"/>
      <c r="H53" s="34"/>
      <c r="I53" s="34"/>
      <c r="J53" s="34"/>
      <c r="K53" s="30"/>
      <c r="L53" s="34"/>
      <c r="M53" s="30"/>
      <c r="N53" s="34"/>
      <c r="O53" s="34"/>
      <c r="P53" s="31"/>
    </row>
    <row r="54" customFormat="false" ht="19.5" hidden="false" customHeight="true" outlineLevel="0" collapsed="false">
      <c r="B54" s="30"/>
      <c r="C54" s="30"/>
      <c r="D54" s="34"/>
      <c r="E54" s="30"/>
      <c r="F54" s="30"/>
      <c r="G54" s="30"/>
      <c r="H54" s="34"/>
      <c r="I54" s="34"/>
      <c r="J54" s="34"/>
      <c r="K54" s="30"/>
      <c r="L54" s="34"/>
      <c r="M54" s="30"/>
      <c r="N54" s="34"/>
      <c r="O54" s="34"/>
      <c r="P54" s="31"/>
    </row>
    <row r="55" customFormat="false" ht="19.5" hidden="false" customHeight="true" outlineLevel="0" collapsed="false">
      <c r="B55" s="30"/>
      <c r="C55" s="30"/>
      <c r="D55" s="34"/>
      <c r="E55" s="30"/>
      <c r="F55" s="30"/>
      <c r="G55" s="30"/>
      <c r="H55" s="34"/>
      <c r="I55" s="34"/>
      <c r="J55" s="34"/>
      <c r="K55" s="30"/>
      <c r="L55" s="34"/>
      <c r="M55" s="30"/>
      <c r="N55" s="34"/>
      <c r="O55" s="34"/>
      <c r="P55" s="31"/>
    </row>
    <row r="56" customFormat="false" ht="19.5" hidden="false" customHeight="true" outlineLevel="0" collapsed="false">
      <c r="B56" s="30"/>
      <c r="C56" s="30"/>
      <c r="D56" s="34"/>
      <c r="E56" s="30"/>
      <c r="F56" s="30"/>
      <c r="G56" s="30"/>
      <c r="H56" s="34"/>
      <c r="I56" s="34"/>
      <c r="J56" s="34"/>
      <c r="K56" s="30"/>
      <c r="L56" s="34"/>
      <c r="M56" s="30"/>
      <c r="N56" s="34"/>
      <c r="O56" s="34"/>
      <c r="P56" s="31"/>
    </row>
    <row r="57" customFormat="false" ht="19.5" hidden="false" customHeight="true" outlineLevel="0" collapsed="false">
      <c r="B57" s="30"/>
      <c r="C57" s="30"/>
      <c r="D57" s="34"/>
      <c r="E57" s="30"/>
      <c r="F57" s="30"/>
      <c r="G57" s="30"/>
      <c r="H57" s="34"/>
      <c r="I57" s="34"/>
      <c r="J57" s="34"/>
      <c r="K57" s="30"/>
      <c r="L57" s="34"/>
      <c r="M57" s="30"/>
      <c r="N57" s="34"/>
      <c r="O57" s="34"/>
      <c r="P57" s="31"/>
    </row>
    <row r="58" customFormat="false" ht="19.5" hidden="false" customHeight="true" outlineLevel="0" collapsed="false">
      <c r="B58" s="30"/>
      <c r="C58" s="30"/>
      <c r="D58" s="34"/>
      <c r="E58" s="30"/>
      <c r="F58" s="30"/>
      <c r="G58" s="30"/>
      <c r="H58" s="34"/>
      <c r="I58" s="34"/>
      <c r="J58" s="34"/>
      <c r="K58" s="30"/>
      <c r="L58" s="34"/>
      <c r="M58" s="30"/>
      <c r="N58" s="34"/>
      <c r="O58" s="34"/>
      <c r="P58" s="31"/>
    </row>
    <row r="59" customFormat="false" ht="19.5" hidden="false" customHeight="true" outlineLevel="0" collapsed="false">
      <c r="B59" s="30"/>
      <c r="C59" s="30"/>
      <c r="D59" s="34"/>
      <c r="E59" s="30"/>
      <c r="F59" s="30"/>
      <c r="G59" s="30"/>
      <c r="H59" s="34"/>
      <c r="I59" s="34"/>
      <c r="J59" s="34"/>
      <c r="K59" s="30"/>
      <c r="L59" s="34"/>
      <c r="M59" s="30"/>
      <c r="N59" s="34"/>
      <c r="O59" s="34"/>
      <c r="P59" s="31"/>
    </row>
    <row r="60" customFormat="false" ht="19.5" hidden="false" customHeight="true" outlineLevel="0" collapsed="false">
      <c r="B60" s="30"/>
      <c r="C60" s="30"/>
      <c r="D60" s="34"/>
      <c r="E60" s="30"/>
      <c r="F60" s="30"/>
      <c r="G60" s="30"/>
      <c r="H60" s="34"/>
      <c r="I60" s="34"/>
      <c r="J60" s="34"/>
      <c r="K60" s="30"/>
      <c r="L60" s="34"/>
      <c r="M60" s="30"/>
      <c r="N60" s="34"/>
      <c r="O60" s="34"/>
      <c r="P60" s="31"/>
    </row>
    <row r="61" customFormat="false" ht="19.5" hidden="false" customHeight="true" outlineLevel="0" collapsed="false">
      <c r="B61" s="30"/>
      <c r="C61" s="30"/>
      <c r="D61" s="34"/>
      <c r="E61" s="30"/>
      <c r="F61" s="30"/>
      <c r="G61" s="30"/>
      <c r="H61" s="34"/>
      <c r="I61" s="34"/>
      <c r="J61" s="34"/>
      <c r="K61" s="30"/>
      <c r="L61" s="34"/>
      <c r="M61" s="30"/>
      <c r="N61" s="34"/>
      <c r="O61" s="34"/>
      <c r="P61" s="31"/>
    </row>
    <row r="62" customFormat="false" ht="19.5" hidden="false" customHeight="true" outlineLevel="0" collapsed="false">
      <c r="B62" s="30"/>
      <c r="C62" s="30"/>
      <c r="D62" s="34"/>
      <c r="E62" s="30"/>
      <c r="F62" s="30"/>
      <c r="G62" s="30"/>
      <c r="H62" s="34"/>
      <c r="I62" s="34"/>
      <c r="J62" s="34"/>
      <c r="K62" s="30"/>
      <c r="L62" s="34"/>
      <c r="M62" s="30"/>
      <c r="N62" s="34"/>
      <c r="O62" s="34"/>
      <c r="P62" s="31"/>
    </row>
    <row r="63" customFormat="false" ht="19.5" hidden="false" customHeight="true" outlineLevel="0" collapsed="false">
      <c r="B63" s="30"/>
      <c r="C63" s="30"/>
      <c r="D63" s="34"/>
      <c r="E63" s="30"/>
      <c r="F63" s="30"/>
      <c r="G63" s="30"/>
      <c r="H63" s="34"/>
      <c r="I63" s="34"/>
      <c r="J63" s="34"/>
      <c r="K63" s="30"/>
      <c r="L63" s="34"/>
      <c r="M63" s="30"/>
      <c r="N63" s="34"/>
      <c r="O63" s="34"/>
      <c r="P63" s="31"/>
    </row>
    <row r="64" customFormat="false" ht="19.5" hidden="false" customHeight="true" outlineLevel="0" collapsed="false">
      <c r="B64" s="30"/>
      <c r="C64" s="30"/>
      <c r="D64" s="34"/>
      <c r="E64" s="30"/>
      <c r="F64" s="30"/>
      <c r="G64" s="30"/>
      <c r="H64" s="34"/>
      <c r="I64" s="34"/>
      <c r="J64" s="34"/>
      <c r="K64" s="30"/>
      <c r="L64" s="34"/>
      <c r="M64" s="30"/>
      <c r="N64" s="34"/>
      <c r="O64" s="34"/>
      <c r="P64" s="31"/>
    </row>
    <row r="65" customFormat="false" ht="19.5" hidden="false" customHeight="true" outlineLevel="0" collapsed="false">
      <c r="B65" s="30"/>
      <c r="C65" s="30"/>
      <c r="D65" s="34"/>
      <c r="E65" s="30"/>
      <c r="F65" s="30"/>
      <c r="G65" s="30"/>
      <c r="H65" s="34"/>
      <c r="I65" s="34"/>
      <c r="J65" s="34"/>
      <c r="K65" s="30"/>
      <c r="L65" s="34"/>
      <c r="M65" s="30"/>
      <c r="N65" s="34"/>
      <c r="O65" s="34"/>
      <c r="P65" s="31"/>
    </row>
    <row r="67" customFormat="false" ht="15" hidden="false" customHeight="false" outlineLevel="0" collapsed="false">
      <c r="B67" s="16" t="s">
        <v>117</v>
      </c>
    </row>
    <row r="68" customFormat="false" ht="15" hidden="false" customHeight="false" outlineLevel="0" collapsed="false">
      <c r="B68" s="22" t="n">
        <f aca="false">COUNTA(B6:B65)</f>
        <v>0</v>
      </c>
      <c r="C68" s="22"/>
      <c r="D68" s="22"/>
      <c r="E68" s="22" t="n">
        <f aca="false">COUNTIF(I6:I65,"Attending")+COUNTIFS(I6:I65,"Attending",J6:J65,"Yes")</f>
        <v>0</v>
      </c>
      <c r="F68" s="22"/>
      <c r="G68" s="22"/>
      <c r="H68" s="22" t="n">
        <f aca="false">COUNTIF(I6:I65,"Pending")</f>
        <v>0</v>
      </c>
      <c r="I68" s="22"/>
      <c r="J68" s="22"/>
      <c r="K68" s="22" t="n">
        <f aca="false">COUNTIF(I6:I65,"Declined")</f>
        <v>0</v>
      </c>
      <c r="L68" s="22"/>
      <c r="M68" s="22"/>
    </row>
    <row r="69" customFormat="false" ht="15" hidden="false" customHeight="false" outlineLevel="0" collapsed="false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 customFormat="false" ht="15" hidden="false" customHeight="false" outlineLevel="0" collapsed="false">
      <c r="B70" s="21" t="s">
        <v>118</v>
      </c>
      <c r="C70" s="21"/>
      <c r="D70" s="21"/>
      <c r="E70" s="21" t="s">
        <v>119</v>
      </c>
      <c r="F70" s="21"/>
      <c r="G70" s="21"/>
      <c r="H70" s="21" t="s">
        <v>120</v>
      </c>
      <c r="I70" s="21"/>
      <c r="J70" s="21"/>
      <c r="K70" s="21" t="s">
        <v>121</v>
      </c>
      <c r="L70" s="21"/>
      <c r="M70" s="21"/>
    </row>
  </sheetData>
  <autoFilter ref="B5:P65"/>
  <mergeCells count="8">
    <mergeCell ref="B68:D69"/>
    <mergeCell ref="E68:G69"/>
    <mergeCell ref="H68:J69"/>
    <mergeCell ref="K68:M69"/>
    <mergeCell ref="B70:D70"/>
    <mergeCell ref="E70:G70"/>
    <mergeCell ref="H70:J70"/>
    <mergeCell ref="K70:M70"/>
  </mergeCells>
  <conditionalFormatting sqref="I6:I65">
    <cfRule type="expression" priority="2" aboveAverage="0" equalAverage="0" bottom="0" percent="0" rank="0" text="" dxfId="4">
      <formula>EXACT(TRIM(I6),"Attending")</formula>
    </cfRule>
    <cfRule type="expression" priority="3" aboveAverage="0" equalAverage="0" bottom="0" percent="0" rank="0" text="" dxfId="5">
      <formula>EXACT(TRIM(I6),"Declined")</formula>
    </cfRule>
    <cfRule type="expression" priority="4" aboveAverage="0" equalAverage="0" bottom="0" percent="0" rank="0" text="" dxfId="7">
      <formula>EXACT(TRIM(I6),"Pending")</formula>
    </cfRule>
    <cfRule type="expression" priority="5" aboveAverage="0" equalAverage="0" bottom="0" percent="0" rank="0" text="" dxfId="6">
      <formula>EXACT(TRIM(I6),"Tentative")</formula>
    </cfRule>
  </conditionalFormatting>
  <dataValidations count="6">
    <dataValidation allowBlank="true" error="Please choose a value from the list." errorStyle="stop" errorTitle="Invalid entry" operator="between" showDropDown="false" showErrorMessage="false" showInputMessage="false" sqref="D6:D65" type="list">
      <formula1>Lists!$I$2:$I$4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H6:H65" type="list">
      <formula1>Lists!$H$2:$H$4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I6:I65" type="list">
      <formula1>Lists!$A$2:$A$5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J6:J65" type="list">
      <formula1>Lists!$R$2:$R$3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L6:L65" type="list">
      <formula1>Lists!$G$2:$G$7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N6:N65" type="list">
      <formula1>Lists!$S$2:$S$3</formula1>
      <formula2>0</formula2>
    </dataValidation>
  </dataValidations>
  <hyperlinks>
    <hyperlink ref="B1" r:id="rId1" location="'Dashboard'!A1" display="‹ Dashboard"/>
    <hyperlink ref="C1" r:id="rId2" location="'START%20HERE'!A1" display="‹ Start Here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tableParts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true"/>
  </sheetPr>
  <dimension ref="A1:K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0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11" min="8" style="0" width="13"/>
  </cols>
  <sheetData>
    <row r="1" customFormat="false" ht="7.5" hidden="false" customHeight="true" outlineLevel="0" collapsed="false">
      <c r="A1" s="9"/>
      <c r="B1" s="10" t="s">
        <v>66</v>
      </c>
      <c r="C1" s="10" t="s">
        <v>42</v>
      </c>
      <c r="D1" s="9"/>
      <c r="E1" s="9"/>
      <c r="F1" s="9"/>
      <c r="G1" s="9"/>
      <c r="H1" s="9"/>
      <c r="I1" s="9"/>
      <c r="J1" s="9"/>
      <c r="K1" s="9"/>
    </row>
    <row r="2" customFormat="false" ht="30" hidden="false" customHeight="true" outlineLevel="0" collapsed="false">
      <c r="A2" s="9"/>
      <c r="B2" s="27" t="s">
        <v>122</v>
      </c>
      <c r="C2" s="9"/>
      <c r="D2" s="9"/>
      <c r="E2" s="9"/>
      <c r="F2" s="9"/>
      <c r="G2" s="9"/>
      <c r="H2" s="9"/>
      <c r="I2" s="9"/>
      <c r="J2" s="9"/>
      <c r="K2" s="9"/>
    </row>
    <row r="3" customFormat="false" ht="19.5" hidden="false" customHeight="true" outlineLevel="0" collapsed="false">
      <c r="A3" s="15"/>
      <c r="B3" s="28" t="s">
        <v>123</v>
      </c>
      <c r="C3" s="15"/>
      <c r="D3" s="15"/>
      <c r="E3" s="15"/>
      <c r="F3" s="15"/>
      <c r="G3" s="15"/>
      <c r="H3" s="15"/>
      <c r="I3" s="15"/>
      <c r="J3" s="15"/>
      <c r="K3" s="15"/>
    </row>
    <row r="5" customFormat="false" ht="15" hidden="false" customHeight="false" outlineLevel="0" collapsed="false">
      <c r="B5" s="5" t="s">
        <v>124</v>
      </c>
      <c r="C5" s="5"/>
      <c r="D5" s="5"/>
      <c r="E5" s="5"/>
      <c r="F5" s="5"/>
      <c r="G5" s="5"/>
      <c r="H5" s="5"/>
      <c r="I5" s="5"/>
      <c r="J5" s="5"/>
      <c r="K5" s="5"/>
    </row>
    <row r="6" customFormat="false" ht="15" hidden="false" customHeight="false" outlineLevel="0" collapsed="false">
      <c r="B6" s="29" t="s">
        <v>125</v>
      </c>
      <c r="C6" s="29" t="s">
        <v>126</v>
      </c>
      <c r="D6" s="29" t="s">
        <v>127</v>
      </c>
      <c r="E6" s="29" t="s">
        <v>128</v>
      </c>
      <c r="H6" s="29" t="s">
        <v>125</v>
      </c>
      <c r="I6" s="29" t="s">
        <v>126</v>
      </c>
      <c r="J6" s="29" t="s">
        <v>127</v>
      </c>
      <c r="K6" s="29" t="s">
        <v>128</v>
      </c>
    </row>
    <row r="7" customFormat="false" ht="15" hidden="false" customHeight="false" outlineLevel="0" collapsed="false">
      <c r="B7" s="34" t="n">
        <v>1</v>
      </c>
      <c r="C7" s="36" t="n">
        <f aca="false">IF(B7&lt;=TableCount,SeatsPerTable,"")</f>
        <v>10</v>
      </c>
      <c r="D7" s="36" t="n">
        <f aca="false">IF(C7="","",COUNTIF(GuestTable[Table Number],B7))</f>
        <v>0</v>
      </c>
      <c r="E7" s="36" t="n">
        <f aca="false">IF(C7="","",C7-D7)</f>
        <v>10</v>
      </c>
      <c r="H7" s="34" t="n">
        <v>11</v>
      </c>
      <c r="I7" s="36" t="n">
        <f aca="false">IF(H7&lt;=TableCount,SeatsPerTable,"")</f>
        <v>10</v>
      </c>
      <c r="J7" s="36" t="n">
        <f aca="false">IF(I7="","",COUNTIF(GuestTable[Table Number],H7))</f>
        <v>0</v>
      </c>
      <c r="K7" s="36" t="n">
        <f aca="false">IF(I7="","",I7-J7)</f>
        <v>10</v>
      </c>
    </row>
    <row r="8" customFormat="false" ht="15" hidden="false" customHeight="false" outlineLevel="0" collapsed="false">
      <c r="B8" s="37" t="n">
        <v>2</v>
      </c>
      <c r="C8" s="38" t="n">
        <f aca="false">IF(B8&lt;=TableCount,SeatsPerTable,"")</f>
        <v>10</v>
      </c>
      <c r="D8" s="38" t="n">
        <f aca="false">IF(C8="","",COUNTIF(GuestTable[Table Number],B8))</f>
        <v>0</v>
      </c>
      <c r="E8" s="38" t="n">
        <f aca="false">IF(C8="","",C8-D8)</f>
        <v>10</v>
      </c>
      <c r="H8" s="37" t="n">
        <v>12</v>
      </c>
      <c r="I8" s="38" t="n">
        <f aca="false">IF(H8&lt;=TableCount,SeatsPerTable,"")</f>
        <v>10</v>
      </c>
      <c r="J8" s="38" t="n">
        <f aca="false">IF(I8="","",COUNTIF(GuestTable[Table Number],H8))</f>
        <v>0</v>
      </c>
      <c r="K8" s="38" t="n">
        <f aca="false">IF(I8="","",I8-J8)</f>
        <v>10</v>
      </c>
    </row>
    <row r="9" customFormat="false" ht="15" hidden="false" customHeight="false" outlineLevel="0" collapsed="false">
      <c r="B9" s="34" t="n">
        <v>3</v>
      </c>
      <c r="C9" s="36" t="n">
        <f aca="false">IF(B9&lt;=TableCount,SeatsPerTable,"")</f>
        <v>10</v>
      </c>
      <c r="D9" s="36" t="n">
        <f aca="false">IF(C9="","",COUNTIF(GuestTable[Table Number],B9))</f>
        <v>0</v>
      </c>
      <c r="E9" s="36" t="n">
        <f aca="false">IF(C9="","",C9-D9)</f>
        <v>10</v>
      </c>
      <c r="H9" s="34" t="n">
        <v>13</v>
      </c>
      <c r="I9" s="36" t="n">
        <f aca="false">IF(H9&lt;=TableCount,SeatsPerTable,"")</f>
        <v>10</v>
      </c>
      <c r="J9" s="36" t="n">
        <f aca="false">IF(I9="","",COUNTIF(GuestTable[Table Number],H9))</f>
        <v>0</v>
      </c>
      <c r="K9" s="36" t="n">
        <f aca="false">IF(I9="","",I9-J9)</f>
        <v>10</v>
      </c>
    </row>
    <row r="10" customFormat="false" ht="15" hidden="false" customHeight="false" outlineLevel="0" collapsed="false">
      <c r="B10" s="37" t="n">
        <v>4</v>
      </c>
      <c r="C10" s="38" t="n">
        <f aca="false">IF(B10&lt;=TableCount,SeatsPerTable,"")</f>
        <v>10</v>
      </c>
      <c r="D10" s="38" t="n">
        <f aca="false">IF(C10="","",COUNTIF(GuestTable[Table Number],B10))</f>
        <v>0</v>
      </c>
      <c r="E10" s="38" t="n">
        <f aca="false">IF(C10="","",C10-D10)</f>
        <v>10</v>
      </c>
      <c r="H10" s="37" t="n">
        <v>14</v>
      </c>
      <c r="I10" s="38" t="n">
        <f aca="false">IF(H10&lt;=TableCount,SeatsPerTable,"")</f>
        <v>10</v>
      </c>
      <c r="J10" s="38" t="n">
        <f aca="false">IF(I10="","",COUNTIF(GuestTable[Table Number],H10))</f>
        <v>0</v>
      </c>
      <c r="K10" s="38" t="n">
        <f aca="false">IF(I10="","",I10-J10)</f>
        <v>10</v>
      </c>
    </row>
    <row r="11" customFormat="false" ht="15" hidden="false" customHeight="false" outlineLevel="0" collapsed="false">
      <c r="B11" s="34" t="n">
        <v>5</v>
      </c>
      <c r="C11" s="36" t="n">
        <f aca="false">IF(B11&lt;=TableCount,SeatsPerTable,"")</f>
        <v>10</v>
      </c>
      <c r="D11" s="36" t="n">
        <f aca="false">IF(C11="","",COUNTIF(GuestTable[Table Number],B11))</f>
        <v>0</v>
      </c>
      <c r="E11" s="36" t="n">
        <f aca="false">IF(C11="","",C11-D11)</f>
        <v>10</v>
      </c>
      <c r="H11" s="34" t="n">
        <v>15</v>
      </c>
      <c r="I11" s="36" t="n">
        <f aca="false">IF(H11&lt;=TableCount,SeatsPerTable,"")</f>
        <v>10</v>
      </c>
      <c r="J11" s="36" t="n">
        <f aca="false">IF(I11="","",COUNTIF(GuestTable[Table Number],H11))</f>
        <v>0</v>
      </c>
      <c r="K11" s="36" t="n">
        <f aca="false">IF(I11="","",I11-J11)</f>
        <v>10</v>
      </c>
    </row>
    <row r="12" customFormat="false" ht="15" hidden="false" customHeight="false" outlineLevel="0" collapsed="false">
      <c r="B12" s="37" t="n">
        <v>6</v>
      </c>
      <c r="C12" s="38" t="n">
        <f aca="false">IF(B12&lt;=TableCount,SeatsPerTable,"")</f>
        <v>10</v>
      </c>
      <c r="D12" s="38" t="n">
        <f aca="false">IF(C12="","",COUNTIF(GuestTable[Table Number],B12))</f>
        <v>0</v>
      </c>
      <c r="E12" s="38" t="n">
        <f aca="false">IF(C12="","",C12-D12)</f>
        <v>10</v>
      </c>
      <c r="H12" s="37" t="n">
        <v>16</v>
      </c>
      <c r="I12" s="38" t="n">
        <f aca="false">IF(H12&lt;=TableCount,SeatsPerTable,"")</f>
        <v>10</v>
      </c>
      <c r="J12" s="38" t="n">
        <f aca="false">IF(I12="","",COUNTIF(GuestTable[Table Number],H12))</f>
        <v>0</v>
      </c>
      <c r="K12" s="38" t="n">
        <f aca="false">IF(I12="","",I12-J12)</f>
        <v>10</v>
      </c>
    </row>
    <row r="13" customFormat="false" ht="15" hidden="false" customHeight="false" outlineLevel="0" collapsed="false">
      <c r="B13" s="34" t="n">
        <v>7</v>
      </c>
      <c r="C13" s="36" t="n">
        <f aca="false">IF(B13&lt;=TableCount,SeatsPerTable,"")</f>
        <v>10</v>
      </c>
      <c r="D13" s="36" t="n">
        <f aca="false">IF(C13="","",COUNTIF(GuestTable[Table Number],B13))</f>
        <v>0</v>
      </c>
      <c r="E13" s="36" t="n">
        <f aca="false">IF(C13="","",C13-D13)</f>
        <v>10</v>
      </c>
      <c r="H13" s="34" t="n">
        <v>17</v>
      </c>
      <c r="I13" s="36" t="str">
        <f aca="false">IF(H13&lt;=TableCount,SeatsPerTable,"")</f>
        <v/>
      </c>
      <c r="J13" s="36" t="str">
        <f aca="false">IF(I13="","",COUNTIF(GuestTable[Table Number],H13))</f>
        <v/>
      </c>
      <c r="K13" s="36" t="str">
        <f aca="false">IF(I13="","",I13-J13)</f>
        <v/>
      </c>
    </row>
    <row r="14" customFormat="false" ht="15" hidden="false" customHeight="false" outlineLevel="0" collapsed="false">
      <c r="B14" s="37" t="n">
        <v>8</v>
      </c>
      <c r="C14" s="38" t="n">
        <f aca="false">IF(B14&lt;=TableCount,SeatsPerTable,"")</f>
        <v>10</v>
      </c>
      <c r="D14" s="38" t="n">
        <f aca="false">IF(C14="","",COUNTIF(GuestTable[Table Number],B14))</f>
        <v>0</v>
      </c>
      <c r="E14" s="38" t="n">
        <f aca="false">IF(C14="","",C14-D14)</f>
        <v>10</v>
      </c>
      <c r="H14" s="37" t="n">
        <v>18</v>
      </c>
      <c r="I14" s="38" t="str">
        <f aca="false">IF(H14&lt;=TableCount,SeatsPerTable,"")</f>
        <v/>
      </c>
      <c r="J14" s="38" t="str">
        <f aca="false">IF(I14="","",COUNTIF(GuestTable[Table Number],H14))</f>
        <v/>
      </c>
      <c r="K14" s="38" t="str">
        <f aca="false">IF(I14="","",I14-J14)</f>
        <v/>
      </c>
    </row>
    <row r="15" customFormat="false" ht="15" hidden="false" customHeight="false" outlineLevel="0" collapsed="false">
      <c r="B15" s="34" t="n">
        <v>9</v>
      </c>
      <c r="C15" s="36" t="n">
        <f aca="false">IF(B15&lt;=TableCount,SeatsPerTable,"")</f>
        <v>10</v>
      </c>
      <c r="D15" s="36" t="n">
        <f aca="false">IF(C15="","",COUNTIF(GuestTable[Table Number],B15))</f>
        <v>0</v>
      </c>
      <c r="E15" s="36" t="n">
        <f aca="false">IF(C15="","",C15-D15)</f>
        <v>10</v>
      </c>
      <c r="H15" s="34" t="n">
        <v>19</v>
      </c>
      <c r="I15" s="36" t="str">
        <f aca="false">IF(H15&lt;=TableCount,SeatsPerTable,"")</f>
        <v/>
      </c>
      <c r="J15" s="36" t="str">
        <f aca="false">IF(I15="","",COUNTIF(GuestTable[Table Number],H15))</f>
        <v/>
      </c>
      <c r="K15" s="36" t="str">
        <f aca="false">IF(I15="","",I15-J15)</f>
        <v/>
      </c>
    </row>
    <row r="16" customFormat="false" ht="15" hidden="false" customHeight="false" outlineLevel="0" collapsed="false">
      <c r="B16" s="37" t="n">
        <v>10</v>
      </c>
      <c r="C16" s="38" t="n">
        <f aca="false">IF(B16&lt;=TableCount,SeatsPerTable,"")</f>
        <v>10</v>
      </c>
      <c r="D16" s="38" t="n">
        <f aca="false">IF(C16="","",COUNTIF(GuestTable[Table Number],B16))</f>
        <v>0</v>
      </c>
      <c r="E16" s="38" t="n">
        <f aca="false">IF(C16="","",C16-D16)</f>
        <v>10</v>
      </c>
      <c r="H16" s="37" t="n">
        <v>20</v>
      </c>
      <c r="I16" s="38" t="str">
        <f aca="false">IF(H16&lt;=TableCount,SeatsPerTable,"")</f>
        <v/>
      </c>
      <c r="J16" s="38" t="str">
        <f aca="false">IF(I16="","",COUNTIF(GuestTable[Table Number],H16))</f>
        <v/>
      </c>
      <c r="K16" s="38" t="str">
        <f aca="false">IF(I16="","",I16-J16)</f>
        <v/>
      </c>
    </row>
    <row r="19" customFormat="false" ht="15" hidden="false" customHeight="false" outlineLevel="0" collapsed="false">
      <c r="B19" s="5" t="s">
        <v>129</v>
      </c>
      <c r="C19" s="5"/>
      <c r="D19" s="5"/>
      <c r="E19" s="5"/>
      <c r="F19" s="5"/>
      <c r="G19" s="5"/>
      <c r="H19" s="5"/>
      <c r="I19" s="5"/>
      <c r="J19" s="5"/>
      <c r="K19" s="5"/>
    </row>
    <row r="20" customFormat="false" ht="15" hidden="false" customHeight="false" outlineLevel="0" collapsed="false">
      <c r="B20" s="29" t="s">
        <v>116</v>
      </c>
      <c r="C20" s="29" t="s">
        <v>105</v>
      </c>
      <c r="D20" s="29" t="s">
        <v>130</v>
      </c>
      <c r="E20" s="29" t="s">
        <v>131</v>
      </c>
      <c r="F20" s="29" t="s">
        <v>132</v>
      </c>
      <c r="G20" s="29" t="s">
        <v>81</v>
      </c>
    </row>
    <row r="21" customFormat="false" ht="15" hidden="false" customHeight="false" outlineLevel="0" collapsed="false">
      <c r="B21" s="34" t="str">
        <f aca="false">IF('Guest List'!O6="","",'Guest List'!O6)</f>
        <v/>
      </c>
      <c r="C21" s="39" t="str">
        <f aca="false">IF('Guest List'!B6="","",'Guest List'!B6)</f>
        <v/>
      </c>
      <c r="D21" s="39" t="str">
        <f aca="false">IF('Guest List'!C6="","",'Guest List'!C6)</f>
        <v/>
      </c>
      <c r="E21" s="34" t="str">
        <f aca="false">IF('Guest List'!L6="","",'Guest List'!L6)</f>
        <v/>
      </c>
      <c r="F21" s="39"/>
      <c r="G21" s="39"/>
    </row>
    <row r="22" customFormat="false" ht="15" hidden="false" customHeight="false" outlineLevel="0" collapsed="false">
      <c r="B22" s="37" t="str">
        <f aca="false">IF('Guest List'!O7="","",'Guest List'!O7)</f>
        <v/>
      </c>
      <c r="C22" s="40" t="str">
        <f aca="false">IF('Guest List'!B7="","",'Guest List'!B7)</f>
        <v/>
      </c>
      <c r="D22" s="40" t="str">
        <f aca="false">IF('Guest List'!C7="","",'Guest List'!C7)</f>
        <v/>
      </c>
      <c r="E22" s="37" t="str">
        <f aca="false">IF('Guest List'!L7="","",'Guest List'!L7)</f>
        <v/>
      </c>
      <c r="F22" s="40"/>
      <c r="G22" s="40"/>
    </row>
    <row r="23" customFormat="false" ht="15" hidden="false" customHeight="false" outlineLevel="0" collapsed="false">
      <c r="B23" s="34" t="str">
        <f aca="false">IF('Guest List'!O8="","",'Guest List'!O8)</f>
        <v/>
      </c>
      <c r="C23" s="39" t="str">
        <f aca="false">IF('Guest List'!B8="","",'Guest List'!B8)</f>
        <v/>
      </c>
      <c r="D23" s="39" t="str">
        <f aca="false">IF('Guest List'!C8="","",'Guest List'!C8)</f>
        <v/>
      </c>
      <c r="E23" s="34" t="str">
        <f aca="false">IF('Guest List'!L8="","",'Guest List'!L8)</f>
        <v/>
      </c>
      <c r="F23" s="39"/>
      <c r="G23" s="39"/>
    </row>
    <row r="24" customFormat="false" ht="15" hidden="false" customHeight="false" outlineLevel="0" collapsed="false">
      <c r="B24" s="37" t="str">
        <f aca="false">IF('Guest List'!O9="","",'Guest List'!O9)</f>
        <v/>
      </c>
      <c r="C24" s="40" t="str">
        <f aca="false">IF('Guest List'!B9="","",'Guest List'!B9)</f>
        <v/>
      </c>
      <c r="D24" s="40" t="str">
        <f aca="false">IF('Guest List'!C9="","",'Guest List'!C9)</f>
        <v/>
      </c>
      <c r="E24" s="37" t="str">
        <f aca="false">IF('Guest List'!L9="","",'Guest List'!L9)</f>
        <v/>
      </c>
      <c r="F24" s="40"/>
      <c r="G24" s="40"/>
    </row>
    <row r="25" customFormat="false" ht="15" hidden="false" customHeight="false" outlineLevel="0" collapsed="false">
      <c r="B25" s="34" t="str">
        <f aca="false">IF('Guest List'!O10="","",'Guest List'!O10)</f>
        <v/>
      </c>
      <c r="C25" s="39" t="str">
        <f aca="false">IF('Guest List'!B10="","",'Guest List'!B10)</f>
        <v/>
      </c>
      <c r="D25" s="39" t="str">
        <f aca="false">IF('Guest List'!C10="","",'Guest List'!C10)</f>
        <v/>
      </c>
      <c r="E25" s="34" t="str">
        <f aca="false">IF('Guest List'!L10="","",'Guest List'!L10)</f>
        <v/>
      </c>
      <c r="F25" s="39"/>
      <c r="G25" s="39"/>
    </row>
    <row r="26" customFormat="false" ht="15" hidden="false" customHeight="false" outlineLevel="0" collapsed="false">
      <c r="B26" s="37" t="str">
        <f aca="false">IF('Guest List'!O11="","",'Guest List'!O11)</f>
        <v/>
      </c>
      <c r="C26" s="40" t="str">
        <f aca="false">IF('Guest List'!B11="","",'Guest List'!B11)</f>
        <v/>
      </c>
      <c r="D26" s="40" t="str">
        <f aca="false">IF('Guest List'!C11="","",'Guest List'!C11)</f>
        <v/>
      </c>
      <c r="E26" s="37" t="str">
        <f aca="false">IF('Guest List'!L11="","",'Guest List'!L11)</f>
        <v/>
      </c>
      <c r="F26" s="40"/>
      <c r="G26" s="40"/>
    </row>
    <row r="27" customFormat="false" ht="15" hidden="false" customHeight="false" outlineLevel="0" collapsed="false">
      <c r="B27" s="34" t="str">
        <f aca="false">IF('Guest List'!O12="","",'Guest List'!O12)</f>
        <v/>
      </c>
      <c r="C27" s="39" t="str">
        <f aca="false">IF('Guest List'!B12="","",'Guest List'!B12)</f>
        <v/>
      </c>
      <c r="D27" s="39" t="str">
        <f aca="false">IF('Guest List'!C12="","",'Guest List'!C12)</f>
        <v/>
      </c>
      <c r="E27" s="34" t="str">
        <f aca="false">IF('Guest List'!L12="","",'Guest List'!L12)</f>
        <v/>
      </c>
      <c r="F27" s="39"/>
      <c r="G27" s="39"/>
    </row>
    <row r="28" customFormat="false" ht="15" hidden="false" customHeight="false" outlineLevel="0" collapsed="false">
      <c r="B28" s="37" t="str">
        <f aca="false">IF('Guest List'!O13="","",'Guest List'!O13)</f>
        <v/>
      </c>
      <c r="C28" s="40" t="str">
        <f aca="false">IF('Guest List'!B13="","",'Guest List'!B13)</f>
        <v/>
      </c>
      <c r="D28" s="40" t="str">
        <f aca="false">IF('Guest List'!C13="","",'Guest List'!C13)</f>
        <v/>
      </c>
      <c r="E28" s="37" t="str">
        <f aca="false">IF('Guest List'!L13="","",'Guest List'!L13)</f>
        <v/>
      </c>
      <c r="F28" s="40"/>
      <c r="G28" s="40"/>
    </row>
    <row r="29" customFormat="false" ht="15" hidden="false" customHeight="false" outlineLevel="0" collapsed="false">
      <c r="B29" s="34" t="str">
        <f aca="false">IF('Guest List'!O14="","",'Guest List'!O14)</f>
        <v/>
      </c>
      <c r="C29" s="39" t="str">
        <f aca="false">IF('Guest List'!B14="","",'Guest List'!B14)</f>
        <v/>
      </c>
      <c r="D29" s="39" t="str">
        <f aca="false">IF('Guest List'!C14="","",'Guest List'!C14)</f>
        <v/>
      </c>
      <c r="E29" s="34" t="str">
        <f aca="false">IF('Guest List'!L14="","",'Guest List'!L14)</f>
        <v/>
      </c>
      <c r="F29" s="39"/>
      <c r="G29" s="39"/>
    </row>
    <row r="30" customFormat="false" ht="15" hidden="false" customHeight="false" outlineLevel="0" collapsed="false">
      <c r="B30" s="37" t="str">
        <f aca="false">IF('Guest List'!O15="","",'Guest List'!O15)</f>
        <v/>
      </c>
      <c r="C30" s="40" t="str">
        <f aca="false">IF('Guest List'!B15="","",'Guest List'!B15)</f>
        <v/>
      </c>
      <c r="D30" s="40" t="str">
        <f aca="false">IF('Guest List'!C15="","",'Guest List'!C15)</f>
        <v/>
      </c>
      <c r="E30" s="37" t="str">
        <f aca="false">IF('Guest List'!L15="","",'Guest List'!L15)</f>
        <v/>
      </c>
      <c r="F30" s="40"/>
      <c r="G30" s="40"/>
    </row>
    <row r="31" customFormat="false" ht="15" hidden="false" customHeight="false" outlineLevel="0" collapsed="false">
      <c r="B31" s="34" t="str">
        <f aca="false">IF('Guest List'!O16="","",'Guest List'!O16)</f>
        <v/>
      </c>
      <c r="C31" s="39" t="str">
        <f aca="false">IF('Guest List'!B16="","",'Guest List'!B16)</f>
        <v/>
      </c>
      <c r="D31" s="39" t="str">
        <f aca="false">IF('Guest List'!C16="","",'Guest List'!C16)</f>
        <v/>
      </c>
      <c r="E31" s="34" t="str">
        <f aca="false">IF('Guest List'!L16="","",'Guest List'!L16)</f>
        <v/>
      </c>
      <c r="F31" s="39"/>
      <c r="G31" s="39"/>
    </row>
    <row r="32" customFormat="false" ht="15" hidden="false" customHeight="false" outlineLevel="0" collapsed="false">
      <c r="B32" s="37" t="str">
        <f aca="false">IF('Guest List'!O17="","",'Guest List'!O17)</f>
        <v/>
      </c>
      <c r="C32" s="40" t="str">
        <f aca="false">IF('Guest List'!B17="","",'Guest List'!B17)</f>
        <v/>
      </c>
      <c r="D32" s="40" t="str">
        <f aca="false">IF('Guest List'!C17="","",'Guest List'!C17)</f>
        <v/>
      </c>
      <c r="E32" s="37" t="str">
        <f aca="false">IF('Guest List'!L17="","",'Guest List'!L17)</f>
        <v/>
      </c>
      <c r="F32" s="40"/>
      <c r="G32" s="40"/>
    </row>
    <row r="33" customFormat="false" ht="15" hidden="false" customHeight="false" outlineLevel="0" collapsed="false">
      <c r="B33" s="34" t="str">
        <f aca="false">IF('Guest List'!O18="","",'Guest List'!O18)</f>
        <v/>
      </c>
      <c r="C33" s="39" t="str">
        <f aca="false">IF('Guest List'!B18="","",'Guest List'!B18)</f>
        <v/>
      </c>
      <c r="D33" s="39" t="str">
        <f aca="false">IF('Guest List'!C18="","",'Guest List'!C18)</f>
        <v/>
      </c>
      <c r="E33" s="34" t="str">
        <f aca="false">IF('Guest List'!L18="","",'Guest List'!L18)</f>
        <v/>
      </c>
      <c r="F33" s="39"/>
      <c r="G33" s="39"/>
    </row>
    <row r="34" customFormat="false" ht="15" hidden="false" customHeight="false" outlineLevel="0" collapsed="false">
      <c r="B34" s="37" t="str">
        <f aca="false">IF('Guest List'!O19="","",'Guest List'!O19)</f>
        <v/>
      </c>
      <c r="C34" s="40" t="str">
        <f aca="false">IF('Guest List'!B19="","",'Guest List'!B19)</f>
        <v/>
      </c>
      <c r="D34" s="40" t="str">
        <f aca="false">IF('Guest List'!C19="","",'Guest List'!C19)</f>
        <v/>
      </c>
      <c r="E34" s="37" t="str">
        <f aca="false">IF('Guest List'!L19="","",'Guest List'!L19)</f>
        <v/>
      </c>
      <c r="F34" s="40"/>
      <c r="G34" s="40"/>
    </row>
    <row r="35" customFormat="false" ht="15" hidden="false" customHeight="false" outlineLevel="0" collapsed="false">
      <c r="B35" s="34" t="str">
        <f aca="false">IF('Guest List'!O20="","",'Guest List'!O20)</f>
        <v/>
      </c>
      <c r="C35" s="39" t="str">
        <f aca="false">IF('Guest List'!B20="","",'Guest List'!B20)</f>
        <v/>
      </c>
      <c r="D35" s="39" t="str">
        <f aca="false">IF('Guest List'!C20="","",'Guest List'!C20)</f>
        <v/>
      </c>
      <c r="E35" s="34" t="str">
        <f aca="false">IF('Guest List'!L20="","",'Guest List'!L20)</f>
        <v/>
      </c>
      <c r="F35" s="39"/>
      <c r="G35" s="39"/>
    </row>
    <row r="36" customFormat="false" ht="15" hidden="false" customHeight="false" outlineLevel="0" collapsed="false">
      <c r="B36" s="37" t="str">
        <f aca="false">IF('Guest List'!O21="","",'Guest List'!O21)</f>
        <v/>
      </c>
      <c r="C36" s="40" t="str">
        <f aca="false">IF('Guest List'!B21="","",'Guest List'!B21)</f>
        <v/>
      </c>
      <c r="D36" s="40" t="str">
        <f aca="false">IF('Guest List'!C21="","",'Guest List'!C21)</f>
        <v/>
      </c>
      <c r="E36" s="37" t="str">
        <f aca="false">IF('Guest List'!L21="","",'Guest List'!L21)</f>
        <v/>
      </c>
      <c r="F36" s="40"/>
      <c r="G36" s="40"/>
    </row>
    <row r="37" customFormat="false" ht="15" hidden="false" customHeight="false" outlineLevel="0" collapsed="false">
      <c r="B37" s="34" t="str">
        <f aca="false">IF('Guest List'!O22="","",'Guest List'!O22)</f>
        <v/>
      </c>
      <c r="C37" s="39" t="str">
        <f aca="false">IF('Guest List'!B22="","",'Guest List'!B22)</f>
        <v/>
      </c>
      <c r="D37" s="39" t="str">
        <f aca="false">IF('Guest List'!C22="","",'Guest List'!C22)</f>
        <v/>
      </c>
      <c r="E37" s="34" t="str">
        <f aca="false">IF('Guest List'!L22="","",'Guest List'!L22)</f>
        <v/>
      </c>
      <c r="F37" s="39"/>
      <c r="G37" s="39"/>
    </row>
    <row r="38" customFormat="false" ht="15" hidden="false" customHeight="false" outlineLevel="0" collapsed="false">
      <c r="B38" s="37" t="str">
        <f aca="false">IF('Guest List'!O23="","",'Guest List'!O23)</f>
        <v/>
      </c>
      <c r="C38" s="40" t="str">
        <f aca="false">IF('Guest List'!B23="","",'Guest List'!B23)</f>
        <v/>
      </c>
      <c r="D38" s="40" t="str">
        <f aca="false">IF('Guest List'!C23="","",'Guest List'!C23)</f>
        <v/>
      </c>
      <c r="E38" s="37" t="str">
        <f aca="false">IF('Guest List'!L23="","",'Guest List'!L23)</f>
        <v/>
      </c>
      <c r="F38" s="40"/>
      <c r="G38" s="40"/>
    </row>
    <row r="39" customFormat="false" ht="15" hidden="false" customHeight="false" outlineLevel="0" collapsed="false">
      <c r="B39" s="34" t="str">
        <f aca="false">IF('Guest List'!O24="","",'Guest List'!O24)</f>
        <v/>
      </c>
      <c r="C39" s="39" t="str">
        <f aca="false">IF('Guest List'!B24="","",'Guest List'!B24)</f>
        <v/>
      </c>
      <c r="D39" s="39" t="str">
        <f aca="false">IF('Guest List'!C24="","",'Guest List'!C24)</f>
        <v/>
      </c>
      <c r="E39" s="34" t="str">
        <f aca="false">IF('Guest List'!L24="","",'Guest List'!L24)</f>
        <v/>
      </c>
      <c r="F39" s="39"/>
      <c r="G39" s="39"/>
    </row>
    <row r="40" customFormat="false" ht="15" hidden="false" customHeight="false" outlineLevel="0" collapsed="false">
      <c r="B40" s="37" t="str">
        <f aca="false">IF('Guest List'!O25="","",'Guest List'!O25)</f>
        <v/>
      </c>
      <c r="C40" s="40" t="str">
        <f aca="false">IF('Guest List'!B25="","",'Guest List'!B25)</f>
        <v/>
      </c>
      <c r="D40" s="40" t="str">
        <f aca="false">IF('Guest List'!C25="","",'Guest List'!C25)</f>
        <v/>
      </c>
      <c r="E40" s="37" t="str">
        <f aca="false">IF('Guest List'!L25="","",'Guest List'!L25)</f>
        <v/>
      </c>
      <c r="F40" s="40"/>
      <c r="G40" s="40"/>
    </row>
    <row r="41" customFormat="false" ht="15" hidden="false" customHeight="false" outlineLevel="0" collapsed="false">
      <c r="B41" s="34" t="str">
        <f aca="false">IF('Guest List'!O26="","",'Guest List'!O26)</f>
        <v/>
      </c>
      <c r="C41" s="39" t="str">
        <f aca="false">IF('Guest List'!B26="","",'Guest List'!B26)</f>
        <v/>
      </c>
      <c r="D41" s="39" t="str">
        <f aca="false">IF('Guest List'!C26="","",'Guest List'!C26)</f>
        <v/>
      </c>
      <c r="E41" s="34" t="str">
        <f aca="false">IF('Guest List'!L26="","",'Guest List'!L26)</f>
        <v/>
      </c>
      <c r="F41" s="39"/>
      <c r="G41" s="39"/>
    </row>
    <row r="42" customFormat="false" ht="15" hidden="false" customHeight="false" outlineLevel="0" collapsed="false">
      <c r="B42" s="37" t="str">
        <f aca="false">IF('Guest List'!O27="","",'Guest List'!O27)</f>
        <v/>
      </c>
      <c r="C42" s="40" t="str">
        <f aca="false">IF('Guest List'!B27="","",'Guest List'!B27)</f>
        <v/>
      </c>
      <c r="D42" s="40" t="str">
        <f aca="false">IF('Guest List'!C27="","",'Guest List'!C27)</f>
        <v/>
      </c>
      <c r="E42" s="37" t="str">
        <f aca="false">IF('Guest List'!L27="","",'Guest List'!L27)</f>
        <v/>
      </c>
      <c r="F42" s="40"/>
      <c r="G42" s="40"/>
    </row>
    <row r="43" customFormat="false" ht="15" hidden="false" customHeight="false" outlineLevel="0" collapsed="false">
      <c r="B43" s="34" t="str">
        <f aca="false">IF('Guest List'!O28="","",'Guest List'!O28)</f>
        <v/>
      </c>
      <c r="C43" s="39" t="str">
        <f aca="false">IF('Guest List'!B28="","",'Guest List'!B28)</f>
        <v/>
      </c>
      <c r="D43" s="39" t="str">
        <f aca="false">IF('Guest List'!C28="","",'Guest List'!C28)</f>
        <v/>
      </c>
      <c r="E43" s="34" t="str">
        <f aca="false">IF('Guest List'!L28="","",'Guest List'!L28)</f>
        <v/>
      </c>
      <c r="F43" s="39"/>
      <c r="G43" s="39"/>
    </row>
    <row r="44" customFormat="false" ht="15" hidden="false" customHeight="false" outlineLevel="0" collapsed="false">
      <c r="B44" s="37" t="str">
        <f aca="false">IF('Guest List'!O29="","",'Guest List'!O29)</f>
        <v/>
      </c>
      <c r="C44" s="40" t="str">
        <f aca="false">IF('Guest List'!B29="","",'Guest List'!B29)</f>
        <v/>
      </c>
      <c r="D44" s="40" t="str">
        <f aca="false">IF('Guest List'!C29="","",'Guest List'!C29)</f>
        <v/>
      </c>
      <c r="E44" s="37" t="str">
        <f aca="false">IF('Guest List'!L29="","",'Guest List'!L29)</f>
        <v/>
      </c>
      <c r="F44" s="40"/>
      <c r="G44" s="40"/>
    </row>
    <row r="45" customFormat="false" ht="15" hidden="false" customHeight="false" outlineLevel="0" collapsed="false">
      <c r="B45" s="34" t="str">
        <f aca="false">IF('Guest List'!O30="","",'Guest List'!O30)</f>
        <v/>
      </c>
      <c r="C45" s="39" t="str">
        <f aca="false">IF('Guest List'!B30="","",'Guest List'!B30)</f>
        <v/>
      </c>
      <c r="D45" s="39" t="str">
        <f aca="false">IF('Guest List'!C30="","",'Guest List'!C30)</f>
        <v/>
      </c>
      <c r="E45" s="34" t="str">
        <f aca="false">IF('Guest List'!L30="","",'Guest List'!L30)</f>
        <v/>
      </c>
      <c r="F45" s="39"/>
      <c r="G45" s="39"/>
    </row>
    <row r="46" customFormat="false" ht="15" hidden="false" customHeight="false" outlineLevel="0" collapsed="false">
      <c r="B46" s="37" t="str">
        <f aca="false">IF('Guest List'!O31="","",'Guest List'!O31)</f>
        <v/>
      </c>
      <c r="C46" s="40" t="str">
        <f aca="false">IF('Guest List'!B31="","",'Guest List'!B31)</f>
        <v/>
      </c>
      <c r="D46" s="40" t="str">
        <f aca="false">IF('Guest List'!C31="","",'Guest List'!C31)</f>
        <v/>
      </c>
      <c r="E46" s="37" t="str">
        <f aca="false">IF('Guest List'!L31="","",'Guest List'!L31)</f>
        <v/>
      </c>
      <c r="F46" s="40"/>
      <c r="G46" s="40"/>
    </row>
    <row r="47" customFormat="false" ht="15" hidden="false" customHeight="false" outlineLevel="0" collapsed="false">
      <c r="B47" s="34" t="str">
        <f aca="false">IF('Guest List'!O32="","",'Guest List'!O32)</f>
        <v/>
      </c>
      <c r="C47" s="39" t="str">
        <f aca="false">IF('Guest List'!B32="","",'Guest List'!B32)</f>
        <v/>
      </c>
      <c r="D47" s="39" t="str">
        <f aca="false">IF('Guest List'!C32="","",'Guest List'!C32)</f>
        <v/>
      </c>
      <c r="E47" s="34" t="str">
        <f aca="false">IF('Guest List'!L32="","",'Guest List'!L32)</f>
        <v/>
      </c>
      <c r="F47" s="39"/>
      <c r="G47" s="39"/>
    </row>
    <row r="48" customFormat="false" ht="15" hidden="false" customHeight="false" outlineLevel="0" collapsed="false">
      <c r="B48" s="37" t="str">
        <f aca="false">IF('Guest List'!O33="","",'Guest List'!O33)</f>
        <v/>
      </c>
      <c r="C48" s="40" t="str">
        <f aca="false">IF('Guest List'!B33="","",'Guest List'!B33)</f>
        <v/>
      </c>
      <c r="D48" s="40" t="str">
        <f aca="false">IF('Guest List'!C33="","",'Guest List'!C33)</f>
        <v/>
      </c>
      <c r="E48" s="37" t="str">
        <f aca="false">IF('Guest List'!L33="","",'Guest List'!L33)</f>
        <v/>
      </c>
      <c r="F48" s="40"/>
      <c r="G48" s="40"/>
    </row>
    <row r="49" customFormat="false" ht="15" hidden="false" customHeight="false" outlineLevel="0" collapsed="false">
      <c r="B49" s="34" t="str">
        <f aca="false">IF('Guest List'!O34="","",'Guest List'!O34)</f>
        <v/>
      </c>
      <c r="C49" s="39" t="str">
        <f aca="false">IF('Guest List'!B34="","",'Guest List'!B34)</f>
        <v/>
      </c>
      <c r="D49" s="39" t="str">
        <f aca="false">IF('Guest List'!C34="","",'Guest List'!C34)</f>
        <v/>
      </c>
      <c r="E49" s="34" t="str">
        <f aca="false">IF('Guest List'!L34="","",'Guest List'!L34)</f>
        <v/>
      </c>
      <c r="F49" s="39"/>
      <c r="G49" s="39"/>
    </row>
    <row r="50" customFormat="false" ht="15" hidden="false" customHeight="false" outlineLevel="0" collapsed="false">
      <c r="B50" s="37" t="str">
        <f aca="false">IF('Guest List'!O35="","",'Guest List'!O35)</f>
        <v/>
      </c>
      <c r="C50" s="40" t="str">
        <f aca="false">IF('Guest List'!B35="","",'Guest List'!B35)</f>
        <v/>
      </c>
      <c r="D50" s="40" t="str">
        <f aca="false">IF('Guest List'!C35="","",'Guest List'!C35)</f>
        <v/>
      </c>
      <c r="E50" s="37" t="str">
        <f aca="false">IF('Guest List'!L35="","",'Guest List'!L35)</f>
        <v/>
      </c>
      <c r="F50" s="40"/>
      <c r="G50" s="40"/>
    </row>
    <row r="51" customFormat="false" ht="15" hidden="false" customHeight="false" outlineLevel="0" collapsed="false">
      <c r="B51" s="34" t="str">
        <f aca="false">IF('Guest List'!O36="","",'Guest List'!O36)</f>
        <v/>
      </c>
      <c r="C51" s="39" t="str">
        <f aca="false">IF('Guest List'!B36="","",'Guest List'!B36)</f>
        <v/>
      </c>
      <c r="D51" s="39" t="str">
        <f aca="false">IF('Guest List'!C36="","",'Guest List'!C36)</f>
        <v/>
      </c>
      <c r="E51" s="34" t="str">
        <f aca="false">IF('Guest List'!L36="","",'Guest List'!L36)</f>
        <v/>
      </c>
      <c r="F51" s="39"/>
      <c r="G51" s="39"/>
    </row>
    <row r="52" customFormat="false" ht="15" hidden="false" customHeight="false" outlineLevel="0" collapsed="false">
      <c r="B52" s="37" t="str">
        <f aca="false">IF('Guest List'!O37="","",'Guest List'!O37)</f>
        <v/>
      </c>
      <c r="C52" s="40" t="str">
        <f aca="false">IF('Guest List'!B37="","",'Guest List'!B37)</f>
        <v/>
      </c>
      <c r="D52" s="40" t="str">
        <f aca="false">IF('Guest List'!C37="","",'Guest List'!C37)</f>
        <v/>
      </c>
      <c r="E52" s="37" t="str">
        <f aca="false">IF('Guest List'!L37="","",'Guest List'!L37)</f>
        <v/>
      </c>
      <c r="F52" s="40"/>
      <c r="G52" s="40"/>
    </row>
    <row r="53" customFormat="false" ht="15" hidden="false" customHeight="false" outlineLevel="0" collapsed="false">
      <c r="B53" s="34" t="str">
        <f aca="false">IF('Guest List'!O38="","",'Guest List'!O38)</f>
        <v/>
      </c>
      <c r="C53" s="39" t="str">
        <f aca="false">IF('Guest List'!B38="","",'Guest List'!B38)</f>
        <v/>
      </c>
      <c r="D53" s="39" t="str">
        <f aca="false">IF('Guest List'!C38="","",'Guest List'!C38)</f>
        <v/>
      </c>
      <c r="E53" s="34" t="str">
        <f aca="false">IF('Guest List'!L38="","",'Guest List'!L38)</f>
        <v/>
      </c>
      <c r="F53" s="39"/>
      <c r="G53" s="39"/>
    </row>
    <row r="54" customFormat="false" ht="15" hidden="false" customHeight="false" outlineLevel="0" collapsed="false">
      <c r="B54" s="37" t="str">
        <f aca="false">IF('Guest List'!O39="","",'Guest List'!O39)</f>
        <v/>
      </c>
      <c r="C54" s="40" t="str">
        <f aca="false">IF('Guest List'!B39="","",'Guest List'!B39)</f>
        <v/>
      </c>
      <c r="D54" s="40" t="str">
        <f aca="false">IF('Guest List'!C39="","",'Guest List'!C39)</f>
        <v/>
      </c>
      <c r="E54" s="37" t="str">
        <f aca="false">IF('Guest List'!L39="","",'Guest List'!L39)</f>
        <v/>
      </c>
      <c r="F54" s="40"/>
      <c r="G54" s="40"/>
    </row>
    <row r="55" customFormat="false" ht="15" hidden="false" customHeight="false" outlineLevel="0" collapsed="false">
      <c r="B55" s="34" t="str">
        <f aca="false">IF('Guest List'!O40="","",'Guest List'!O40)</f>
        <v/>
      </c>
      <c r="C55" s="39" t="str">
        <f aca="false">IF('Guest List'!B40="","",'Guest List'!B40)</f>
        <v/>
      </c>
      <c r="D55" s="39" t="str">
        <f aca="false">IF('Guest List'!C40="","",'Guest List'!C40)</f>
        <v/>
      </c>
      <c r="E55" s="34" t="str">
        <f aca="false">IF('Guest List'!L40="","",'Guest List'!L40)</f>
        <v/>
      </c>
      <c r="F55" s="39"/>
      <c r="G55" s="39"/>
    </row>
    <row r="56" customFormat="false" ht="15" hidden="false" customHeight="false" outlineLevel="0" collapsed="false">
      <c r="B56" s="37" t="str">
        <f aca="false">IF('Guest List'!O41="","",'Guest List'!O41)</f>
        <v/>
      </c>
      <c r="C56" s="40" t="str">
        <f aca="false">IF('Guest List'!B41="","",'Guest List'!B41)</f>
        <v/>
      </c>
      <c r="D56" s="40" t="str">
        <f aca="false">IF('Guest List'!C41="","",'Guest List'!C41)</f>
        <v/>
      </c>
      <c r="E56" s="37" t="str">
        <f aca="false">IF('Guest List'!L41="","",'Guest List'!L41)</f>
        <v/>
      </c>
      <c r="F56" s="40"/>
      <c r="G56" s="40"/>
    </row>
    <row r="57" customFormat="false" ht="15" hidden="false" customHeight="false" outlineLevel="0" collapsed="false">
      <c r="B57" s="34" t="str">
        <f aca="false">IF('Guest List'!O42="","",'Guest List'!O42)</f>
        <v/>
      </c>
      <c r="C57" s="39" t="str">
        <f aca="false">IF('Guest List'!B42="","",'Guest List'!B42)</f>
        <v/>
      </c>
      <c r="D57" s="39" t="str">
        <f aca="false">IF('Guest List'!C42="","",'Guest List'!C42)</f>
        <v/>
      </c>
      <c r="E57" s="34" t="str">
        <f aca="false">IF('Guest List'!L42="","",'Guest List'!L42)</f>
        <v/>
      </c>
      <c r="F57" s="39"/>
      <c r="G57" s="39"/>
    </row>
    <row r="58" customFormat="false" ht="15" hidden="false" customHeight="false" outlineLevel="0" collapsed="false">
      <c r="B58" s="37" t="str">
        <f aca="false">IF('Guest List'!O43="","",'Guest List'!O43)</f>
        <v/>
      </c>
      <c r="C58" s="40" t="str">
        <f aca="false">IF('Guest List'!B43="","",'Guest List'!B43)</f>
        <v/>
      </c>
      <c r="D58" s="40" t="str">
        <f aca="false">IF('Guest List'!C43="","",'Guest List'!C43)</f>
        <v/>
      </c>
      <c r="E58" s="37" t="str">
        <f aca="false">IF('Guest List'!L43="","",'Guest List'!L43)</f>
        <v/>
      </c>
      <c r="F58" s="40"/>
      <c r="G58" s="40"/>
    </row>
    <row r="59" customFormat="false" ht="15" hidden="false" customHeight="false" outlineLevel="0" collapsed="false">
      <c r="B59" s="34" t="str">
        <f aca="false">IF('Guest List'!O44="","",'Guest List'!O44)</f>
        <v/>
      </c>
      <c r="C59" s="39" t="str">
        <f aca="false">IF('Guest List'!B44="","",'Guest List'!B44)</f>
        <v/>
      </c>
      <c r="D59" s="39" t="str">
        <f aca="false">IF('Guest List'!C44="","",'Guest List'!C44)</f>
        <v/>
      </c>
      <c r="E59" s="34" t="str">
        <f aca="false">IF('Guest List'!L44="","",'Guest List'!L44)</f>
        <v/>
      </c>
      <c r="F59" s="39"/>
      <c r="G59" s="39"/>
    </row>
    <row r="60" customFormat="false" ht="15" hidden="false" customHeight="false" outlineLevel="0" collapsed="false">
      <c r="B60" s="37" t="str">
        <f aca="false">IF('Guest List'!O45="","",'Guest List'!O45)</f>
        <v/>
      </c>
      <c r="C60" s="40" t="str">
        <f aca="false">IF('Guest List'!B45="","",'Guest List'!B45)</f>
        <v/>
      </c>
      <c r="D60" s="40" t="str">
        <f aca="false">IF('Guest List'!C45="","",'Guest List'!C45)</f>
        <v/>
      </c>
      <c r="E60" s="37" t="str">
        <f aca="false">IF('Guest List'!L45="","",'Guest List'!L45)</f>
        <v/>
      </c>
      <c r="F60" s="40"/>
      <c r="G60" s="40"/>
    </row>
    <row r="61" customFormat="false" ht="15" hidden="false" customHeight="false" outlineLevel="0" collapsed="false">
      <c r="B61" s="34" t="str">
        <f aca="false">IF('Guest List'!O46="","",'Guest List'!O46)</f>
        <v/>
      </c>
      <c r="C61" s="39" t="str">
        <f aca="false">IF('Guest List'!B46="","",'Guest List'!B46)</f>
        <v/>
      </c>
      <c r="D61" s="39" t="str">
        <f aca="false">IF('Guest List'!C46="","",'Guest List'!C46)</f>
        <v/>
      </c>
      <c r="E61" s="34" t="str">
        <f aca="false">IF('Guest List'!L46="","",'Guest List'!L46)</f>
        <v/>
      </c>
      <c r="F61" s="39"/>
      <c r="G61" s="39"/>
    </row>
    <row r="62" customFormat="false" ht="15" hidden="false" customHeight="false" outlineLevel="0" collapsed="false">
      <c r="B62" s="37" t="str">
        <f aca="false">IF('Guest List'!O47="","",'Guest List'!O47)</f>
        <v/>
      </c>
      <c r="C62" s="40" t="str">
        <f aca="false">IF('Guest List'!B47="","",'Guest List'!B47)</f>
        <v/>
      </c>
      <c r="D62" s="40" t="str">
        <f aca="false">IF('Guest List'!C47="","",'Guest List'!C47)</f>
        <v/>
      </c>
      <c r="E62" s="37" t="str">
        <f aca="false">IF('Guest List'!L47="","",'Guest List'!L47)</f>
        <v/>
      </c>
      <c r="F62" s="40"/>
      <c r="G62" s="40"/>
    </row>
    <row r="63" customFormat="false" ht="15" hidden="false" customHeight="false" outlineLevel="0" collapsed="false">
      <c r="B63" s="34" t="str">
        <f aca="false">IF('Guest List'!O48="","",'Guest List'!O48)</f>
        <v/>
      </c>
      <c r="C63" s="39" t="str">
        <f aca="false">IF('Guest List'!B48="","",'Guest List'!B48)</f>
        <v/>
      </c>
      <c r="D63" s="39" t="str">
        <f aca="false">IF('Guest List'!C48="","",'Guest List'!C48)</f>
        <v/>
      </c>
      <c r="E63" s="34" t="str">
        <f aca="false">IF('Guest List'!L48="","",'Guest List'!L48)</f>
        <v/>
      </c>
      <c r="F63" s="39"/>
      <c r="G63" s="39"/>
    </row>
    <row r="64" customFormat="false" ht="15" hidden="false" customHeight="false" outlineLevel="0" collapsed="false">
      <c r="B64" s="37" t="str">
        <f aca="false">IF('Guest List'!O49="","",'Guest List'!O49)</f>
        <v/>
      </c>
      <c r="C64" s="40" t="str">
        <f aca="false">IF('Guest List'!B49="","",'Guest List'!B49)</f>
        <v/>
      </c>
      <c r="D64" s="40" t="str">
        <f aca="false">IF('Guest List'!C49="","",'Guest List'!C49)</f>
        <v/>
      </c>
      <c r="E64" s="37" t="str">
        <f aca="false">IF('Guest List'!L49="","",'Guest List'!L49)</f>
        <v/>
      </c>
      <c r="F64" s="40"/>
      <c r="G64" s="40"/>
    </row>
    <row r="65" customFormat="false" ht="15" hidden="false" customHeight="false" outlineLevel="0" collapsed="false">
      <c r="B65" s="34" t="str">
        <f aca="false">IF('Guest List'!O50="","",'Guest List'!O50)</f>
        <v/>
      </c>
      <c r="C65" s="39" t="str">
        <f aca="false">IF('Guest List'!B50="","",'Guest List'!B50)</f>
        <v/>
      </c>
      <c r="D65" s="39" t="str">
        <f aca="false">IF('Guest List'!C50="","",'Guest List'!C50)</f>
        <v/>
      </c>
      <c r="E65" s="34" t="str">
        <f aca="false">IF('Guest List'!L50="","",'Guest List'!L50)</f>
        <v/>
      </c>
      <c r="F65" s="39"/>
      <c r="G65" s="39"/>
    </row>
    <row r="66" customFormat="false" ht="15" hidden="false" customHeight="false" outlineLevel="0" collapsed="false">
      <c r="B66" s="37" t="str">
        <f aca="false">IF('Guest List'!O51="","",'Guest List'!O51)</f>
        <v/>
      </c>
      <c r="C66" s="40" t="str">
        <f aca="false">IF('Guest List'!B51="","",'Guest List'!B51)</f>
        <v/>
      </c>
      <c r="D66" s="40" t="str">
        <f aca="false">IF('Guest List'!C51="","",'Guest List'!C51)</f>
        <v/>
      </c>
      <c r="E66" s="37" t="str">
        <f aca="false">IF('Guest List'!L51="","",'Guest List'!L51)</f>
        <v/>
      </c>
      <c r="F66" s="40"/>
      <c r="G66" s="40"/>
    </row>
    <row r="67" customFormat="false" ht="15" hidden="false" customHeight="false" outlineLevel="0" collapsed="false">
      <c r="B67" s="34" t="str">
        <f aca="false">IF('Guest List'!O52="","",'Guest List'!O52)</f>
        <v/>
      </c>
      <c r="C67" s="39" t="str">
        <f aca="false">IF('Guest List'!B52="","",'Guest List'!B52)</f>
        <v/>
      </c>
      <c r="D67" s="39" t="str">
        <f aca="false">IF('Guest List'!C52="","",'Guest List'!C52)</f>
        <v/>
      </c>
      <c r="E67" s="34" t="str">
        <f aca="false">IF('Guest List'!L52="","",'Guest List'!L52)</f>
        <v/>
      </c>
      <c r="F67" s="39"/>
      <c r="G67" s="39"/>
    </row>
    <row r="68" customFormat="false" ht="15" hidden="false" customHeight="false" outlineLevel="0" collapsed="false">
      <c r="B68" s="37" t="str">
        <f aca="false">IF('Guest List'!O53="","",'Guest List'!O53)</f>
        <v/>
      </c>
      <c r="C68" s="40" t="str">
        <f aca="false">IF('Guest List'!B53="","",'Guest List'!B53)</f>
        <v/>
      </c>
      <c r="D68" s="40" t="str">
        <f aca="false">IF('Guest List'!C53="","",'Guest List'!C53)</f>
        <v/>
      </c>
      <c r="E68" s="37" t="str">
        <f aca="false">IF('Guest List'!L53="","",'Guest List'!L53)</f>
        <v/>
      </c>
      <c r="F68" s="40"/>
      <c r="G68" s="40"/>
    </row>
    <row r="69" customFormat="false" ht="15" hidden="false" customHeight="false" outlineLevel="0" collapsed="false">
      <c r="B69" s="34" t="str">
        <f aca="false">IF('Guest List'!O54="","",'Guest List'!O54)</f>
        <v/>
      </c>
      <c r="C69" s="39" t="str">
        <f aca="false">IF('Guest List'!B54="","",'Guest List'!B54)</f>
        <v/>
      </c>
      <c r="D69" s="39" t="str">
        <f aca="false">IF('Guest List'!C54="","",'Guest List'!C54)</f>
        <v/>
      </c>
      <c r="E69" s="34" t="str">
        <f aca="false">IF('Guest List'!L54="","",'Guest List'!L54)</f>
        <v/>
      </c>
      <c r="F69" s="39"/>
      <c r="G69" s="39"/>
    </row>
    <row r="70" customFormat="false" ht="15" hidden="false" customHeight="false" outlineLevel="0" collapsed="false">
      <c r="B70" s="37" t="str">
        <f aca="false">IF('Guest List'!O55="","",'Guest List'!O55)</f>
        <v/>
      </c>
      <c r="C70" s="40" t="str">
        <f aca="false">IF('Guest List'!B55="","",'Guest List'!B55)</f>
        <v/>
      </c>
      <c r="D70" s="40" t="str">
        <f aca="false">IF('Guest List'!C55="","",'Guest List'!C55)</f>
        <v/>
      </c>
      <c r="E70" s="37" t="str">
        <f aca="false">IF('Guest List'!L55="","",'Guest List'!L55)</f>
        <v/>
      </c>
      <c r="F70" s="40"/>
      <c r="G70" s="40"/>
    </row>
    <row r="71" customFormat="false" ht="15" hidden="false" customHeight="false" outlineLevel="0" collapsed="false">
      <c r="B71" s="34" t="str">
        <f aca="false">IF('Guest List'!O56="","",'Guest List'!O56)</f>
        <v/>
      </c>
      <c r="C71" s="39" t="str">
        <f aca="false">IF('Guest List'!B56="","",'Guest List'!B56)</f>
        <v/>
      </c>
      <c r="D71" s="39" t="str">
        <f aca="false">IF('Guest List'!C56="","",'Guest List'!C56)</f>
        <v/>
      </c>
      <c r="E71" s="34" t="str">
        <f aca="false">IF('Guest List'!L56="","",'Guest List'!L56)</f>
        <v/>
      </c>
      <c r="F71" s="39"/>
      <c r="G71" s="39"/>
    </row>
    <row r="72" customFormat="false" ht="15" hidden="false" customHeight="false" outlineLevel="0" collapsed="false">
      <c r="B72" s="37" t="str">
        <f aca="false">IF('Guest List'!O57="","",'Guest List'!O57)</f>
        <v/>
      </c>
      <c r="C72" s="40" t="str">
        <f aca="false">IF('Guest List'!B57="","",'Guest List'!B57)</f>
        <v/>
      </c>
      <c r="D72" s="40" t="str">
        <f aca="false">IF('Guest List'!C57="","",'Guest List'!C57)</f>
        <v/>
      </c>
      <c r="E72" s="37" t="str">
        <f aca="false">IF('Guest List'!L57="","",'Guest List'!L57)</f>
        <v/>
      </c>
      <c r="F72" s="40"/>
      <c r="G72" s="40"/>
    </row>
    <row r="73" customFormat="false" ht="15" hidden="false" customHeight="false" outlineLevel="0" collapsed="false">
      <c r="B73" s="34" t="str">
        <f aca="false">IF('Guest List'!O58="","",'Guest List'!O58)</f>
        <v/>
      </c>
      <c r="C73" s="39" t="str">
        <f aca="false">IF('Guest List'!B58="","",'Guest List'!B58)</f>
        <v/>
      </c>
      <c r="D73" s="39" t="str">
        <f aca="false">IF('Guest List'!C58="","",'Guest List'!C58)</f>
        <v/>
      </c>
      <c r="E73" s="34" t="str">
        <f aca="false">IF('Guest List'!L58="","",'Guest List'!L58)</f>
        <v/>
      </c>
      <c r="F73" s="39"/>
      <c r="G73" s="39"/>
    </row>
    <row r="74" customFormat="false" ht="15" hidden="false" customHeight="false" outlineLevel="0" collapsed="false">
      <c r="B74" s="37" t="str">
        <f aca="false">IF('Guest List'!O59="","",'Guest List'!O59)</f>
        <v/>
      </c>
      <c r="C74" s="40" t="str">
        <f aca="false">IF('Guest List'!B59="","",'Guest List'!B59)</f>
        <v/>
      </c>
      <c r="D74" s="40" t="str">
        <f aca="false">IF('Guest List'!C59="","",'Guest List'!C59)</f>
        <v/>
      </c>
      <c r="E74" s="37" t="str">
        <f aca="false">IF('Guest List'!L59="","",'Guest List'!L59)</f>
        <v/>
      </c>
      <c r="F74" s="40"/>
      <c r="G74" s="40"/>
    </row>
    <row r="75" customFormat="false" ht="15" hidden="false" customHeight="false" outlineLevel="0" collapsed="false">
      <c r="B75" s="34" t="str">
        <f aca="false">IF('Guest List'!O60="","",'Guest List'!O60)</f>
        <v/>
      </c>
      <c r="C75" s="39" t="str">
        <f aca="false">IF('Guest List'!B60="","",'Guest List'!B60)</f>
        <v/>
      </c>
      <c r="D75" s="39" t="str">
        <f aca="false">IF('Guest List'!C60="","",'Guest List'!C60)</f>
        <v/>
      </c>
      <c r="E75" s="34" t="str">
        <f aca="false">IF('Guest List'!L60="","",'Guest List'!L60)</f>
        <v/>
      </c>
      <c r="F75" s="39"/>
      <c r="G75" s="39"/>
    </row>
    <row r="76" customFormat="false" ht="15" hidden="false" customHeight="false" outlineLevel="0" collapsed="false">
      <c r="B76" s="37" t="str">
        <f aca="false">IF('Guest List'!O61="","",'Guest List'!O61)</f>
        <v/>
      </c>
      <c r="C76" s="40" t="str">
        <f aca="false">IF('Guest List'!B61="","",'Guest List'!B61)</f>
        <v/>
      </c>
      <c r="D76" s="40" t="str">
        <f aca="false">IF('Guest List'!C61="","",'Guest List'!C61)</f>
        <v/>
      </c>
      <c r="E76" s="37" t="str">
        <f aca="false">IF('Guest List'!L61="","",'Guest List'!L61)</f>
        <v/>
      </c>
      <c r="F76" s="40"/>
      <c r="G76" s="40"/>
    </row>
    <row r="77" customFormat="false" ht="15" hidden="false" customHeight="false" outlineLevel="0" collapsed="false">
      <c r="B77" s="34" t="str">
        <f aca="false">IF('Guest List'!O62="","",'Guest List'!O62)</f>
        <v/>
      </c>
      <c r="C77" s="39" t="str">
        <f aca="false">IF('Guest List'!B62="","",'Guest List'!B62)</f>
        <v/>
      </c>
      <c r="D77" s="39" t="str">
        <f aca="false">IF('Guest List'!C62="","",'Guest List'!C62)</f>
        <v/>
      </c>
      <c r="E77" s="34" t="str">
        <f aca="false">IF('Guest List'!L62="","",'Guest List'!L62)</f>
        <v/>
      </c>
      <c r="F77" s="39"/>
      <c r="G77" s="39"/>
    </row>
    <row r="78" customFormat="false" ht="15" hidden="false" customHeight="false" outlineLevel="0" collapsed="false">
      <c r="B78" s="37" t="str">
        <f aca="false">IF('Guest List'!O63="","",'Guest List'!O63)</f>
        <v/>
      </c>
      <c r="C78" s="40" t="str">
        <f aca="false">IF('Guest List'!B63="","",'Guest List'!B63)</f>
        <v/>
      </c>
      <c r="D78" s="40" t="str">
        <f aca="false">IF('Guest List'!C63="","",'Guest List'!C63)</f>
        <v/>
      </c>
      <c r="E78" s="37" t="str">
        <f aca="false">IF('Guest List'!L63="","",'Guest List'!L63)</f>
        <v/>
      </c>
      <c r="F78" s="40"/>
      <c r="G78" s="40"/>
    </row>
    <row r="79" customFormat="false" ht="15" hidden="false" customHeight="false" outlineLevel="0" collapsed="false">
      <c r="B79" s="34" t="str">
        <f aca="false">IF('Guest List'!O64="","",'Guest List'!O64)</f>
        <v/>
      </c>
      <c r="C79" s="39" t="str">
        <f aca="false">IF('Guest List'!B64="","",'Guest List'!B64)</f>
        <v/>
      </c>
      <c r="D79" s="39" t="str">
        <f aca="false">IF('Guest List'!C64="","",'Guest List'!C64)</f>
        <v/>
      </c>
      <c r="E79" s="34" t="str">
        <f aca="false">IF('Guest List'!L64="","",'Guest List'!L64)</f>
        <v/>
      </c>
      <c r="F79" s="39"/>
      <c r="G79" s="39"/>
    </row>
    <row r="80" customFormat="false" ht="15" hidden="false" customHeight="false" outlineLevel="0" collapsed="false">
      <c r="B80" s="37" t="str">
        <f aca="false">IF('Guest List'!O65="","",'Guest List'!O65)</f>
        <v/>
      </c>
      <c r="C80" s="40" t="str">
        <f aca="false">IF('Guest List'!B65="","",'Guest List'!B65)</f>
        <v/>
      </c>
      <c r="D80" s="40" t="str">
        <f aca="false">IF('Guest List'!C65="","",'Guest List'!C65)</f>
        <v/>
      </c>
      <c r="E80" s="37" t="str">
        <f aca="false">IF('Guest List'!L65="","",'Guest List'!L65)</f>
        <v/>
      </c>
      <c r="F80" s="40"/>
      <c r="G80" s="40"/>
    </row>
  </sheetData>
  <mergeCells count="2">
    <mergeCell ref="B5:K5"/>
    <mergeCell ref="B19:K19"/>
  </mergeCells>
  <conditionalFormatting sqref="E7:E16">
    <cfRule type="expression" priority="2" aboveAverage="0" equalAverage="0" bottom="0" percent="0" rank="0" text="" dxfId="5">
      <formula>AND(E7&lt;&gt;"",E7&lt;0)</formula>
    </cfRule>
  </conditionalFormatting>
  <conditionalFormatting sqref="K7:K16">
    <cfRule type="expression" priority="3" aboveAverage="0" equalAverage="0" bottom="0" percent="0" rank="0" text="" dxfId="5">
      <formula>AND(K7&lt;&gt;"",K7&lt;0)</formula>
    </cfRule>
  </conditionalFormatting>
  <hyperlinks>
    <hyperlink ref="B1" r:id="rId1" location="'Dashboard'!A1" display="‹ Dashboard"/>
    <hyperlink ref="C1" r:id="rId2" location="'START%20HERE'!A1" display="‹ Start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tru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6" min="4" style="0" width="20"/>
    <col collapsed="false" customWidth="true" hidden="false" outlineLevel="0" max="7" min="7" style="0" width="24"/>
  </cols>
  <sheetData>
    <row r="1" customFormat="false" ht="7.5" hidden="false" customHeight="true" outlineLevel="0" collapsed="false">
      <c r="A1" s="9"/>
      <c r="B1" s="10" t="s">
        <v>66</v>
      </c>
      <c r="C1" s="10" t="s">
        <v>42</v>
      </c>
      <c r="D1" s="9"/>
      <c r="E1" s="9"/>
      <c r="F1" s="9"/>
      <c r="G1" s="9"/>
    </row>
    <row r="2" customFormat="false" ht="30" hidden="false" customHeight="true" outlineLevel="0" collapsed="false">
      <c r="A2" s="9"/>
      <c r="B2" s="27" t="s">
        <v>133</v>
      </c>
      <c r="C2" s="9"/>
      <c r="D2" s="9"/>
      <c r="E2" s="9"/>
      <c r="F2" s="9"/>
      <c r="G2" s="9"/>
    </row>
    <row r="3" customFormat="false" ht="19.5" hidden="false" customHeight="true" outlineLevel="0" collapsed="false">
      <c r="A3" s="15"/>
      <c r="B3" s="28" t="s">
        <v>134</v>
      </c>
      <c r="C3" s="15"/>
      <c r="D3" s="15"/>
      <c r="E3" s="15"/>
      <c r="F3" s="15"/>
      <c r="G3" s="15"/>
    </row>
    <row r="5" customFormat="false" ht="15" hidden="false" customHeight="false" outlineLevel="0" collapsed="false">
      <c r="B5" s="29" t="s">
        <v>135</v>
      </c>
      <c r="C5" s="29" t="s">
        <v>136</v>
      </c>
      <c r="D5" s="29" t="s">
        <v>137</v>
      </c>
      <c r="E5" s="29" t="s">
        <v>138</v>
      </c>
      <c r="F5" s="29" t="s">
        <v>72</v>
      </c>
      <c r="G5" s="29" t="s">
        <v>81</v>
      </c>
    </row>
    <row r="6" customFormat="false" ht="19.5" hidden="false" customHeight="true" outlineLevel="0" collapsed="false">
      <c r="B6" s="41"/>
      <c r="C6" s="31"/>
      <c r="D6" s="30"/>
      <c r="E6" s="30"/>
      <c r="F6" s="30"/>
      <c r="G6" s="31"/>
    </row>
    <row r="7" customFormat="false" ht="19.5" hidden="false" customHeight="true" outlineLevel="0" collapsed="false">
      <c r="B7" s="41"/>
      <c r="C7" s="31"/>
      <c r="D7" s="30"/>
      <c r="E7" s="30"/>
      <c r="F7" s="30"/>
      <c r="G7" s="31"/>
    </row>
    <row r="8" customFormat="false" ht="19.5" hidden="false" customHeight="true" outlineLevel="0" collapsed="false">
      <c r="B8" s="41"/>
      <c r="C8" s="31"/>
      <c r="D8" s="30"/>
      <c r="E8" s="30"/>
      <c r="F8" s="30"/>
      <c r="G8" s="31"/>
    </row>
    <row r="9" customFormat="false" ht="19.5" hidden="false" customHeight="true" outlineLevel="0" collapsed="false">
      <c r="B9" s="41"/>
      <c r="C9" s="31"/>
      <c r="D9" s="30"/>
      <c r="E9" s="30"/>
      <c r="F9" s="30"/>
      <c r="G9" s="31"/>
    </row>
    <row r="10" customFormat="false" ht="19.5" hidden="false" customHeight="true" outlineLevel="0" collapsed="false">
      <c r="B10" s="41"/>
      <c r="C10" s="31"/>
      <c r="D10" s="30"/>
      <c r="E10" s="30"/>
      <c r="F10" s="30"/>
      <c r="G10" s="31"/>
    </row>
    <row r="11" customFormat="false" ht="19.5" hidden="false" customHeight="true" outlineLevel="0" collapsed="false">
      <c r="B11" s="41"/>
      <c r="C11" s="31"/>
      <c r="D11" s="30"/>
      <c r="E11" s="30"/>
      <c r="F11" s="30"/>
      <c r="G11" s="31"/>
    </row>
    <row r="12" customFormat="false" ht="19.5" hidden="false" customHeight="true" outlineLevel="0" collapsed="false">
      <c r="B12" s="41"/>
      <c r="C12" s="31"/>
      <c r="D12" s="30"/>
      <c r="E12" s="30"/>
      <c r="F12" s="30"/>
      <c r="G12" s="31"/>
    </row>
    <row r="13" customFormat="false" ht="19.5" hidden="false" customHeight="true" outlineLevel="0" collapsed="false">
      <c r="B13" s="41"/>
      <c r="C13" s="31"/>
      <c r="D13" s="30"/>
      <c r="E13" s="30"/>
      <c r="F13" s="30"/>
      <c r="G13" s="31"/>
    </row>
    <row r="14" customFormat="false" ht="19.5" hidden="false" customHeight="true" outlineLevel="0" collapsed="false">
      <c r="B14" s="41"/>
      <c r="C14" s="31"/>
      <c r="D14" s="30"/>
      <c r="E14" s="30"/>
      <c r="F14" s="30"/>
      <c r="G14" s="31"/>
    </row>
    <row r="15" customFormat="false" ht="19.5" hidden="false" customHeight="true" outlineLevel="0" collapsed="false">
      <c r="B15" s="41"/>
      <c r="C15" s="31"/>
      <c r="D15" s="30"/>
      <c r="E15" s="30"/>
      <c r="F15" s="30"/>
      <c r="G15" s="31"/>
    </row>
    <row r="16" customFormat="false" ht="19.5" hidden="false" customHeight="true" outlineLevel="0" collapsed="false">
      <c r="B16" s="41"/>
      <c r="C16" s="31"/>
      <c r="D16" s="30"/>
      <c r="E16" s="30"/>
      <c r="F16" s="30"/>
      <c r="G16" s="31"/>
    </row>
    <row r="17" customFormat="false" ht="19.5" hidden="false" customHeight="true" outlineLevel="0" collapsed="false">
      <c r="B17" s="41"/>
      <c r="C17" s="31"/>
      <c r="D17" s="30"/>
      <c r="E17" s="30"/>
      <c r="F17" s="30"/>
      <c r="G17" s="31"/>
    </row>
    <row r="18" customFormat="false" ht="19.5" hidden="false" customHeight="true" outlineLevel="0" collapsed="false">
      <c r="B18" s="41"/>
      <c r="C18" s="31"/>
      <c r="D18" s="30"/>
      <c r="E18" s="30"/>
      <c r="F18" s="30"/>
      <c r="G18" s="31"/>
    </row>
    <row r="19" customFormat="false" ht="19.5" hidden="false" customHeight="true" outlineLevel="0" collapsed="false">
      <c r="B19" s="41"/>
      <c r="C19" s="31"/>
      <c r="D19" s="30"/>
      <c r="E19" s="30"/>
      <c r="F19" s="30"/>
      <c r="G19" s="31"/>
    </row>
    <row r="20" customFormat="false" ht="19.5" hidden="false" customHeight="true" outlineLevel="0" collapsed="false">
      <c r="B20" s="41"/>
      <c r="C20" s="31"/>
      <c r="D20" s="30"/>
      <c r="E20" s="30"/>
      <c r="F20" s="30"/>
      <c r="G20" s="31"/>
    </row>
    <row r="21" customFormat="false" ht="19.5" hidden="false" customHeight="true" outlineLevel="0" collapsed="false">
      <c r="B21" s="41"/>
      <c r="C21" s="31"/>
      <c r="D21" s="30"/>
      <c r="E21" s="30"/>
      <c r="F21" s="30"/>
      <c r="G21" s="31"/>
    </row>
  </sheetData>
  <autoFilter ref="B5:G21"/>
  <hyperlinks>
    <hyperlink ref="B1" r:id="rId1" location="'Dashboard'!A1" display="‹ Dashboard"/>
    <hyperlink ref="C1" r:id="rId2" location="'START%20HERE'!A1" display="‹ Start Here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tableParts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true"/>
  </sheetPr>
  <dimension ref="A1:M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7.5" hidden="false" customHeight="true" outlineLevel="0" collapsed="false">
      <c r="A1" s="9"/>
      <c r="B1" s="10" t="s">
        <v>66</v>
      </c>
      <c r="C1" s="10" t="s">
        <v>42</v>
      </c>
      <c r="D1" s="9"/>
      <c r="E1" s="9"/>
      <c r="F1" s="9"/>
      <c r="G1" s="9"/>
      <c r="H1" s="9"/>
      <c r="I1" s="9"/>
    </row>
    <row r="2" customFormat="false" ht="30" hidden="false" customHeight="true" outlineLevel="0" collapsed="false">
      <c r="A2" s="9"/>
      <c r="B2" s="27" t="s">
        <v>139</v>
      </c>
      <c r="C2" s="9"/>
      <c r="D2" s="9"/>
      <c r="E2" s="9"/>
      <c r="F2" s="9"/>
      <c r="G2" s="9"/>
      <c r="H2" s="9"/>
      <c r="I2" s="9"/>
    </row>
    <row r="3" customFormat="false" ht="19.5" hidden="false" customHeight="true" outlineLevel="0" collapsed="false">
      <c r="A3" s="15"/>
      <c r="B3" s="28" t="s">
        <v>140</v>
      </c>
      <c r="C3" s="15"/>
      <c r="D3" s="15"/>
      <c r="E3" s="15"/>
      <c r="F3" s="15"/>
      <c r="G3" s="15"/>
      <c r="H3" s="15"/>
      <c r="I3" s="15"/>
    </row>
    <row r="5" customFormat="false" ht="15" hidden="false" customHeight="false" outlineLevel="0" collapsed="false">
      <c r="B5" s="29" t="s">
        <v>141</v>
      </c>
      <c r="C5" s="29" t="s">
        <v>142</v>
      </c>
      <c r="D5" s="29" t="s">
        <v>69</v>
      </c>
      <c r="E5" s="29" t="s">
        <v>143</v>
      </c>
      <c r="F5" s="29" t="s">
        <v>144</v>
      </c>
      <c r="G5" s="29" t="s">
        <v>79</v>
      </c>
      <c r="H5" s="29" t="s">
        <v>145</v>
      </c>
      <c r="I5" s="29" t="s">
        <v>81</v>
      </c>
    </row>
    <row r="6" customFormat="false" ht="19.5" hidden="false" customHeight="true" outlineLevel="0" collapsed="false">
      <c r="B6" s="30"/>
      <c r="C6" s="31"/>
      <c r="D6" s="30"/>
      <c r="E6" s="34"/>
      <c r="F6" s="34"/>
      <c r="G6" s="33"/>
      <c r="H6" s="34"/>
      <c r="I6" s="31"/>
    </row>
    <row r="7" customFormat="false" ht="19.5" hidden="false" customHeight="true" outlineLevel="0" collapsed="false">
      <c r="B7" s="30"/>
      <c r="C7" s="31"/>
      <c r="D7" s="30"/>
      <c r="E7" s="34"/>
      <c r="F7" s="34"/>
      <c r="G7" s="33"/>
      <c r="H7" s="34"/>
      <c r="I7" s="31"/>
    </row>
    <row r="8" customFormat="false" ht="19.5" hidden="false" customHeight="true" outlineLevel="0" collapsed="false">
      <c r="B8" s="30"/>
      <c r="C8" s="31"/>
      <c r="D8" s="30"/>
      <c r="E8" s="34"/>
      <c r="F8" s="34"/>
      <c r="G8" s="33"/>
      <c r="H8" s="34"/>
      <c r="I8" s="31"/>
    </row>
    <row r="9" customFormat="false" ht="19.5" hidden="false" customHeight="true" outlineLevel="0" collapsed="false">
      <c r="B9" s="30"/>
      <c r="C9" s="31"/>
      <c r="D9" s="30"/>
      <c r="E9" s="34"/>
      <c r="F9" s="34"/>
      <c r="G9" s="33"/>
      <c r="H9" s="34"/>
      <c r="I9" s="31"/>
    </row>
    <row r="10" customFormat="false" ht="19.5" hidden="false" customHeight="true" outlineLevel="0" collapsed="false">
      <c r="B10" s="30"/>
      <c r="C10" s="31"/>
      <c r="D10" s="30"/>
      <c r="E10" s="34"/>
      <c r="F10" s="34"/>
      <c r="G10" s="33"/>
      <c r="H10" s="34"/>
      <c r="I10" s="31"/>
    </row>
    <row r="11" customFormat="false" ht="19.5" hidden="false" customHeight="true" outlineLevel="0" collapsed="false">
      <c r="B11" s="30"/>
      <c r="C11" s="31"/>
      <c r="D11" s="30"/>
      <c r="E11" s="34"/>
      <c r="F11" s="34"/>
      <c r="G11" s="33"/>
      <c r="H11" s="34"/>
      <c r="I11" s="31"/>
    </row>
    <row r="12" customFormat="false" ht="19.5" hidden="false" customHeight="true" outlineLevel="0" collapsed="false">
      <c r="B12" s="30"/>
      <c r="C12" s="31"/>
      <c r="D12" s="30"/>
      <c r="E12" s="34"/>
      <c r="F12" s="34"/>
      <c r="G12" s="33"/>
      <c r="H12" s="34"/>
      <c r="I12" s="31"/>
    </row>
    <row r="13" customFormat="false" ht="19.5" hidden="false" customHeight="true" outlineLevel="0" collapsed="false">
      <c r="B13" s="30"/>
      <c r="C13" s="31"/>
      <c r="D13" s="30"/>
      <c r="E13" s="34"/>
      <c r="F13" s="34"/>
      <c r="G13" s="33"/>
      <c r="H13" s="34"/>
      <c r="I13" s="31"/>
    </row>
    <row r="14" customFormat="false" ht="19.5" hidden="false" customHeight="true" outlineLevel="0" collapsed="false">
      <c r="B14" s="30"/>
      <c r="C14" s="31"/>
      <c r="D14" s="30"/>
      <c r="E14" s="34"/>
      <c r="F14" s="34"/>
      <c r="G14" s="33"/>
      <c r="H14" s="34"/>
      <c r="I14" s="31"/>
    </row>
    <row r="15" customFormat="false" ht="19.5" hidden="false" customHeight="true" outlineLevel="0" collapsed="false">
      <c r="B15" s="30"/>
      <c r="C15" s="31"/>
      <c r="D15" s="30"/>
      <c r="E15" s="34"/>
      <c r="F15" s="34"/>
      <c r="G15" s="33"/>
      <c r="H15" s="34"/>
      <c r="I15" s="31"/>
    </row>
    <row r="16" customFormat="false" ht="19.5" hidden="false" customHeight="true" outlineLevel="0" collapsed="false">
      <c r="B16" s="30"/>
      <c r="C16" s="31"/>
      <c r="D16" s="30"/>
      <c r="E16" s="34"/>
      <c r="F16" s="34"/>
      <c r="G16" s="33"/>
      <c r="H16" s="34"/>
      <c r="I16" s="31"/>
    </row>
    <row r="17" customFormat="false" ht="19.5" hidden="false" customHeight="true" outlineLevel="0" collapsed="false">
      <c r="B17" s="30"/>
      <c r="C17" s="31"/>
      <c r="D17" s="30"/>
      <c r="E17" s="34"/>
      <c r="F17" s="34"/>
      <c r="G17" s="33"/>
      <c r="H17" s="34"/>
      <c r="I17" s="31"/>
    </row>
    <row r="18" customFormat="false" ht="19.5" hidden="false" customHeight="true" outlineLevel="0" collapsed="false">
      <c r="B18" s="30"/>
      <c r="C18" s="31"/>
      <c r="D18" s="30"/>
      <c r="E18" s="34"/>
      <c r="F18" s="34"/>
      <c r="G18" s="33"/>
      <c r="H18" s="34"/>
      <c r="I18" s="31"/>
    </row>
    <row r="19" customFormat="false" ht="19.5" hidden="false" customHeight="true" outlineLevel="0" collapsed="false">
      <c r="B19" s="30"/>
      <c r="C19" s="31"/>
      <c r="D19" s="30"/>
      <c r="E19" s="34"/>
      <c r="F19" s="34"/>
      <c r="G19" s="33"/>
      <c r="H19" s="34"/>
      <c r="I19" s="31"/>
    </row>
    <row r="20" customFormat="false" ht="19.5" hidden="false" customHeight="true" outlineLevel="0" collapsed="false">
      <c r="B20" s="30"/>
      <c r="C20" s="31"/>
      <c r="D20" s="30"/>
      <c r="E20" s="34"/>
      <c r="F20" s="34"/>
      <c r="G20" s="33"/>
      <c r="H20" s="34"/>
      <c r="I20" s="31"/>
    </row>
    <row r="21" customFormat="false" ht="19.5" hidden="false" customHeight="true" outlineLevel="0" collapsed="false">
      <c r="B21" s="30"/>
      <c r="C21" s="31"/>
      <c r="D21" s="30"/>
      <c r="E21" s="34"/>
      <c r="F21" s="34"/>
      <c r="G21" s="33"/>
      <c r="H21" s="34"/>
      <c r="I21" s="31"/>
    </row>
    <row r="22" customFormat="false" ht="19.5" hidden="false" customHeight="true" outlineLevel="0" collapsed="false">
      <c r="B22" s="30"/>
      <c r="C22" s="31"/>
      <c r="D22" s="30"/>
      <c r="E22" s="34"/>
      <c r="F22" s="34"/>
      <c r="G22" s="33"/>
      <c r="H22" s="34"/>
      <c r="I22" s="31"/>
    </row>
    <row r="23" customFormat="false" ht="19.5" hidden="false" customHeight="true" outlineLevel="0" collapsed="false">
      <c r="B23" s="30"/>
      <c r="C23" s="31"/>
      <c r="D23" s="30"/>
      <c r="E23" s="34"/>
      <c r="F23" s="34"/>
      <c r="G23" s="33"/>
      <c r="H23" s="34"/>
      <c r="I23" s="31"/>
    </row>
    <row r="24" customFormat="false" ht="19.5" hidden="false" customHeight="true" outlineLevel="0" collapsed="false">
      <c r="B24" s="30"/>
      <c r="C24" s="31"/>
      <c r="D24" s="30"/>
      <c r="E24" s="34"/>
      <c r="F24" s="34"/>
      <c r="G24" s="33"/>
      <c r="H24" s="34"/>
      <c r="I24" s="31"/>
    </row>
    <row r="25" customFormat="false" ht="19.5" hidden="false" customHeight="true" outlineLevel="0" collapsed="false">
      <c r="B25" s="30"/>
      <c r="C25" s="31"/>
      <c r="D25" s="30"/>
      <c r="E25" s="34"/>
      <c r="F25" s="34"/>
      <c r="G25" s="33"/>
      <c r="H25" s="34"/>
      <c r="I25" s="31"/>
    </row>
    <row r="26" customFormat="false" ht="19.5" hidden="false" customHeight="true" outlineLevel="0" collapsed="false">
      <c r="B26" s="30"/>
      <c r="C26" s="31"/>
      <c r="D26" s="30"/>
      <c r="E26" s="34"/>
      <c r="F26" s="34"/>
      <c r="G26" s="33"/>
      <c r="H26" s="34"/>
      <c r="I26" s="31"/>
    </row>
    <row r="27" customFormat="false" ht="19.5" hidden="false" customHeight="true" outlineLevel="0" collapsed="false">
      <c r="B27" s="30"/>
      <c r="C27" s="31"/>
      <c r="D27" s="30"/>
      <c r="E27" s="34"/>
      <c r="F27" s="34"/>
      <c r="G27" s="33"/>
      <c r="H27" s="34"/>
      <c r="I27" s="31"/>
    </row>
    <row r="28" customFormat="false" ht="19.5" hidden="false" customHeight="true" outlineLevel="0" collapsed="false">
      <c r="B28" s="30"/>
      <c r="C28" s="31"/>
      <c r="D28" s="30"/>
      <c r="E28" s="34"/>
      <c r="F28" s="34"/>
      <c r="G28" s="33"/>
      <c r="H28" s="34"/>
      <c r="I28" s="31"/>
    </row>
    <row r="29" customFormat="false" ht="19.5" hidden="false" customHeight="true" outlineLevel="0" collapsed="false">
      <c r="B29" s="30"/>
      <c r="C29" s="31"/>
      <c r="D29" s="30"/>
      <c r="E29" s="34"/>
      <c r="F29" s="34"/>
      <c r="G29" s="33"/>
      <c r="H29" s="34"/>
      <c r="I29" s="31"/>
    </row>
    <row r="30" customFormat="false" ht="19.5" hidden="false" customHeight="true" outlineLevel="0" collapsed="false">
      <c r="B30" s="30"/>
      <c r="C30" s="31"/>
      <c r="D30" s="30"/>
      <c r="E30" s="34"/>
      <c r="F30" s="34"/>
      <c r="G30" s="33"/>
      <c r="H30" s="34"/>
      <c r="I30" s="31"/>
    </row>
    <row r="31" customFormat="false" ht="19.5" hidden="false" customHeight="true" outlineLevel="0" collapsed="false">
      <c r="B31" s="30"/>
      <c r="C31" s="31"/>
      <c r="D31" s="30"/>
      <c r="E31" s="34"/>
      <c r="F31" s="34"/>
      <c r="G31" s="33"/>
      <c r="H31" s="34"/>
      <c r="I31" s="31"/>
    </row>
    <row r="32" customFormat="false" ht="19.5" hidden="false" customHeight="true" outlineLevel="0" collapsed="false">
      <c r="B32" s="30"/>
      <c r="C32" s="31"/>
      <c r="D32" s="30"/>
      <c r="E32" s="34"/>
      <c r="F32" s="34"/>
      <c r="G32" s="33"/>
      <c r="H32" s="34"/>
      <c r="I32" s="31"/>
    </row>
    <row r="33" customFormat="false" ht="19.5" hidden="false" customHeight="true" outlineLevel="0" collapsed="false">
      <c r="B33" s="30"/>
      <c r="C33" s="31"/>
      <c r="D33" s="30"/>
      <c r="E33" s="34"/>
      <c r="F33" s="34"/>
      <c r="G33" s="33"/>
      <c r="H33" s="34"/>
      <c r="I33" s="31"/>
    </row>
    <row r="34" customFormat="false" ht="19.5" hidden="false" customHeight="true" outlineLevel="0" collapsed="false">
      <c r="B34" s="30"/>
      <c r="C34" s="31"/>
      <c r="D34" s="30"/>
      <c r="E34" s="34"/>
      <c r="F34" s="34"/>
      <c r="G34" s="33"/>
      <c r="H34" s="34"/>
      <c r="I34" s="31"/>
    </row>
    <row r="35" customFormat="false" ht="19.5" hidden="false" customHeight="true" outlineLevel="0" collapsed="false">
      <c r="B35" s="30"/>
      <c r="C35" s="31"/>
      <c r="D35" s="30"/>
      <c r="E35" s="34"/>
      <c r="F35" s="34"/>
      <c r="G35" s="33"/>
      <c r="H35" s="34"/>
      <c r="I35" s="31"/>
    </row>
    <row r="36" customFormat="false" ht="19.5" hidden="false" customHeight="true" outlineLevel="0" collapsed="false">
      <c r="B36" s="30"/>
      <c r="C36" s="31"/>
      <c r="D36" s="30"/>
      <c r="E36" s="34"/>
      <c r="F36" s="34"/>
      <c r="G36" s="33"/>
      <c r="H36" s="34"/>
      <c r="I36" s="31"/>
    </row>
    <row r="37" customFormat="false" ht="19.5" hidden="false" customHeight="true" outlineLevel="0" collapsed="false">
      <c r="B37" s="30"/>
      <c r="C37" s="31"/>
      <c r="D37" s="30"/>
      <c r="E37" s="34"/>
      <c r="F37" s="34"/>
      <c r="G37" s="33"/>
      <c r="H37" s="34"/>
      <c r="I37" s="31"/>
    </row>
    <row r="38" customFormat="false" ht="19.5" hidden="false" customHeight="true" outlineLevel="0" collapsed="false">
      <c r="B38" s="30"/>
      <c r="C38" s="31"/>
      <c r="D38" s="30"/>
      <c r="E38" s="34"/>
      <c r="F38" s="34"/>
      <c r="G38" s="33"/>
      <c r="H38" s="34"/>
      <c r="I38" s="31"/>
    </row>
    <row r="39" customFormat="false" ht="19.5" hidden="false" customHeight="true" outlineLevel="0" collapsed="false">
      <c r="B39" s="30"/>
      <c r="C39" s="31"/>
      <c r="D39" s="30"/>
      <c r="E39" s="34"/>
      <c r="F39" s="34"/>
      <c r="G39" s="33"/>
      <c r="H39" s="34"/>
      <c r="I39" s="31"/>
    </row>
    <row r="40" customFormat="false" ht="19.5" hidden="false" customHeight="true" outlineLevel="0" collapsed="false">
      <c r="B40" s="30"/>
      <c r="C40" s="31"/>
      <c r="D40" s="30"/>
      <c r="E40" s="34"/>
      <c r="F40" s="34"/>
      <c r="G40" s="33"/>
      <c r="H40" s="34"/>
      <c r="I40" s="31"/>
    </row>
    <row r="41" customFormat="false" ht="19.5" hidden="false" customHeight="true" outlineLevel="0" collapsed="false">
      <c r="B41" s="30"/>
      <c r="C41" s="31"/>
      <c r="D41" s="30"/>
      <c r="E41" s="34"/>
      <c r="F41" s="34"/>
      <c r="G41" s="33"/>
      <c r="H41" s="34"/>
      <c r="I41" s="31"/>
    </row>
    <row r="42" customFormat="false" ht="19.5" hidden="false" customHeight="true" outlineLevel="0" collapsed="false">
      <c r="B42" s="30"/>
      <c r="C42" s="31"/>
      <c r="D42" s="30"/>
      <c r="E42" s="34"/>
      <c r="F42" s="34"/>
      <c r="G42" s="33"/>
      <c r="H42" s="34"/>
      <c r="I42" s="31"/>
    </row>
    <row r="43" customFormat="false" ht="19.5" hidden="false" customHeight="true" outlineLevel="0" collapsed="false">
      <c r="B43" s="30"/>
      <c r="C43" s="31"/>
      <c r="D43" s="30"/>
      <c r="E43" s="34"/>
      <c r="F43" s="34"/>
      <c r="G43" s="33"/>
      <c r="H43" s="34"/>
      <c r="I43" s="31"/>
    </row>
    <row r="44" customFormat="false" ht="19.5" hidden="false" customHeight="true" outlineLevel="0" collapsed="false">
      <c r="B44" s="30"/>
      <c r="C44" s="31"/>
      <c r="D44" s="30"/>
      <c r="E44" s="34"/>
      <c r="F44" s="34"/>
      <c r="G44" s="33"/>
      <c r="H44" s="34"/>
      <c r="I44" s="31"/>
    </row>
    <row r="45" customFormat="false" ht="19.5" hidden="false" customHeight="true" outlineLevel="0" collapsed="false">
      <c r="B45" s="30"/>
      <c r="C45" s="31"/>
      <c r="D45" s="30"/>
      <c r="E45" s="34"/>
      <c r="F45" s="34"/>
      <c r="G45" s="33"/>
      <c r="H45" s="34"/>
      <c r="I45" s="31"/>
    </row>
    <row r="46" customFormat="false" ht="19.5" hidden="false" customHeight="true" outlineLevel="0" collapsed="false">
      <c r="B46" s="30"/>
      <c r="C46" s="31"/>
      <c r="D46" s="30"/>
      <c r="E46" s="34"/>
      <c r="F46" s="34"/>
      <c r="G46" s="33"/>
      <c r="H46" s="34"/>
      <c r="I46" s="31"/>
    </row>
    <row r="47" customFormat="false" ht="19.5" hidden="false" customHeight="true" outlineLevel="0" collapsed="false">
      <c r="B47" s="30"/>
      <c r="C47" s="31"/>
      <c r="D47" s="30"/>
      <c r="E47" s="34"/>
      <c r="F47" s="34"/>
      <c r="G47" s="33"/>
      <c r="H47" s="34"/>
      <c r="I47" s="31"/>
    </row>
    <row r="48" customFormat="false" ht="19.5" hidden="false" customHeight="true" outlineLevel="0" collapsed="false">
      <c r="B48" s="30"/>
      <c r="C48" s="31"/>
      <c r="D48" s="30"/>
      <c r="E48" s="34"/>
      <c r="F48" s="34"/>
      <c r="G48" s="33"/>
      <c r="H48" s="34"/>
      <c r="I48" s="31"/>
    </row>
    <row r="49" customFormat="false" ht="19.5" hidden="false" customHeight="true" outlineLevel="0" collapsed="false">
      <c r="B49" s="30"/>
      <c r="C49" s="31"/>
      <c r="D49" s="30"/>
      <c r="E49" s="34"/>
      <c r="F49" s="34"/>
      <c r="G49" s="33"/>
      <c r="H49" s="34"/>
      <c r="I49" s="31"/>
    </row>
    <row r="50" customFormat="false" ht="19.5" hidden="false" customHeight="true" outlineLevel="0" collapsed="false">
      <c r="B50" s="30"/>
      <c r="C50" s="31"/>
      <c r="D50" s="30"/>
      <c r="E50" s="34"/>
      <c r="F50" s="34"/>
      <c r="G50" s="33"/>
      <c r="H50" s="34"/>
      <c r="I50" s="31"/>
    </row>
    <row r="51" customFormat="false" ht="19.5" hidden="false" customHeight="true" outlineLevel="0" collapsed="false">
      <c r="B51" s="30"/>
      <c r="C51" s="31"/>
      <c r="D51" s="30"/>
      <c r="E51" s="34"/>
      <c r="F51" s="34"/>
      <c r="G51" s="33"/>
      <c r="H51" s="34"/>
      <c r="I51" s="31"/>
    </row>
    <row r="52" customFormat="false" ht="19.5" hidden="false" customHeight="true" outlineLevel="0" collapsed="false">
      <c r="B52" s="30"/>
      <c r="C52" s="31"/>
      <c r="D52" s="30"/>
      <c r="E52" s="34"/>
      <c r="F52" s="34"/>
      <c r="G52" s="33"/>
      <c r="H52" s="34"/>
      <c r="I52" s="31"/>
    </row>
    <row r="53" customFormat="false" ht="19.5" hidden="false" customHeight="true" outlineLevel="0" collapsed="false">
      <c r="B53" s="30"/>
      <c r="C53" s="31"/>
      <c r="D53" s="30"/>
      <c r="E53" s="34"/>
      <c r="F53" s="34"/>
      <c r="G53" s="33"/>
      <c r="H53" s="34"/>
      <c r="I53" s="31"/>
    </row>
    <row r="54" customFormat="false" ht="19.5" hidden="false" customHeight="true" outlineLevel="0" collapsed="false">
      <c r="B54" s="30"/>
      <c r="C54" s="31"/>
      <c r="D54" s="30"/>
      <c r="E54" s="34"/>
      <c r="F54" s="34"/>
      <c r="G54" s="33"/>
      <c r="H54" s="34"/>
      <c r="I54" s="31"/>
    </row>
    <row r="55" customFormat="false" ht="19.5" hidden="false" customHeight="true" outlineLevel="0" collapsed="false">
      <c r="B55" s="30"/>
      <c r="C55" s="31"/>
      <c r="D55" s="30"/>
      <c r="E55" s="34"/>
      <c r="F55" s="34"/>
      <c r="G55" s="33"/>
      <c r="H55" s="34"/>
      <c r="I55" s="31"/>
    </row>
    <row r="56" customFormat="false" ht="19.5" hidden="false" customHeight="true" outlineLevel="0" collapsed="false">
      <c r="B56" s="30"/>
      <c r="C56" s="31"/>
      <c r="D56" s="30"/>
      <c r="E56" s="34"/>
      <c r="F56" s="34"/>
      <c r="G56" s="33"/>
      <c r="H56" s="34"/>
      <c r="I56" s="31"/>
    </row>
    <row r="57" customFormat="false" ht="19.5" hidden="false" customHeight="true" outlineLevel="0" collapsed="false">
      <c r="B57" s="30"/>
      <c r="C57" s="31"/>
      <c r="D57" s="30"/>
      <c r="E57" s="34"/>
      <c r="F57" s="34"/>
      <c r="G57" s="33"/>
      <c r="H57" s="34"/>
      <c r="I57" s="31"/>
    </row>
    <row r="58" customFormat="false" ht="19.5" hidden="false" customHeight="true" outlineLevel="0" collapsed="false">
      <c r="B58" s="30"/>
      <c r="C58" s="31"/>
      <c r="D58" s="30"/>
      <c r="E58" s="34"/>
      <c r="F58" s="34"/>
      <c r="G58" s="33"/>
      <c r="H58" s="34"/>
      <c r="I58" s="31"/>
    </row>
    <row r="59" customFormat="false" ht="19.5" hidden="false" customHeight="true" outlineLevel="0" collapsed="false">
      <c r="B59" s="30"/>
      <c r="C59" s="31"/>
      <c r="D59" s="30"/>
      <c r="E59" s="34"/>
      <c r="F59" s="34"/>
      <c r="G59" s="33"/>
      <c r="H59" s="34"/>
      <c r="I59" s="31"/>
    </row>
    <row r="60" customFormat="false" ht="19.5" hidden="false" customHeight="true" outlineLevel="0" collapsed="false">
      <c r="B60" s="30"/>
      <c r="C60" s="31"/>
      <c r="D60" s="30"/>
      <c r="E60" s="34"/>
      <c r="F60" s="34"/>
      <c r="G60" s="33"/>
      <c r="H60" s="34"/>
      <c r="I60" s="31"/>
    </row>
    <row r="61" customFormat="false" ht="19.5" hidden="false" customHeight="true" outlineLevel="0" collapsed="false">
      <c r="B61" s="30"/>
      <c r="C61" s="31"/>
      <c r="D61" s="30"/>
      <c r="E61" s="34"/>
      <c r="F61" s="34"/>
      <c r="G61" s="33"/>
      <c r="H61" s="34"/>
      <c r="I61" s="31"/>
    </row>
    <row r="62" customFormat="false" ht="19.5" hidden="false" customHeight="true" outlineLevel="0" collapsed="false">
      <c r="B62" s="30"/>
      <c r="C62" s="31"/>
      <c r="D62" s="30"/>
      <c r="E62" s="34"/>
      <c r="F62" s="34"/>
      <c r="G62" s="33"/>
      <c r="H62" s="34"/>
      <c r="I62" s="31"/>
    </row>
    <row r="63" customFormat="false" ht="19.5" hidden="false" customHeight="true" outlineLevel="0" collapsed="false">
      <c r="B63" s="30"/>
      <c r="C63" s="31"/>
      <c r="D63" s="30"/>
      <c r="E63" s="34"/>
      <c r="F63" s="34"/>
      <c r="G63" s="33"/>
      <c r="H63" s="34"/>
      <c r="I63" s="31"/>
    </row>
    <row r="64" customFormat="false" ht="19.5" hidden="false" customHeight="true" outlineLevel="0" collapsed="false">
      <c r="B64" s="30"/>
      <c r="C64" s="31"/>
      <c r="D64" s="30"/>
      <c r="E64" s="34"/>
      <c r="F64" s="34"/>
      <c r="G64" s="33"/>
      <c r="H64" s="34"/>
      <c r="I64" s="31"/>
    </row>
    <row r="65" customFormat="false" ht="19.5" hidden="false" customHeight="true" outlineLevel="0" collapsed="false">
      <c r="B65" s="30"/>
      <c r="C65" s="31"/>
      <c r="D65" s="30"/>
      <c r="E65" s="34"/>
      <c r="F65" s="34"/>
      <c r="G65" s="33"/>
      <c r="H65" s="34"/>
      <c r="I65" s="31"/>
    </row>
    <row r="67" customFormat="false" ht="15" hidden="false" customHeight="false" outlineLevel="0" collapsed="false">
      <c r="B67" s="16" t="s">
        <v>146</v>
      </c>
    </row>
    <row r="68" customFormat="false" ht="15" hidden="false" customHeight="false" outlineLevel="0" collapsed="false">
      <c r="B68" s="22" t="n">
        <f aca="false">COUNTA(C6:C65)</f>
        <v>0</v>
      </c>
      <c r="C68" s="22"/>
      <c r="D68" s="22"/>
      <c r="E68" s="22" t="n">
        <f aca="false">COUNTIF(H6:H65,"Completed")</f>
        <v>0</v>
      </c>
      <c r="F68" s="22"/>
      <c r="G68" s="22"/>
      <c r="H68" s="22" t="n">
        <f aca="false">COUNTIFS(C6:C65,"&lt;&gt;",H6:H65,"&lt;&gt;Completed")</f>
        <v>0</v>
      </c>
      <c r="I68" s="22"/>
      <c r="J68" s="22"/>
      <c r="K68" s="35" t="str">
        <f aca="false">IFERROR(COUNTIF(H6:H65,"Completed")/(COUNTA(C6:C65)),"")</f>
        <v/>
      </c>
      <c r="L68" s="35"/>
      <c r="M68" s="35"/>
    </row>
    <row r="69" customFormat="false" ht="15" hidden="false" customHeight="false" outlineLevel="0" collapsed="false">
      <c r="B69" s="22"/>
      <c r="C69" s="22"/>
      <c r="D69" s="22"/>
      <c r="E69" s="22"/>
      <c r="F69" s="22"/>
      <c r="G69" s="22"/>
      <c r="H69" s="22"/>
      <c r="I69" s="22"/>
      <c r="J69" s="22"/>
      <c r="K69" s="35"/>
      <c r="L69" s="35"/>
      <c r="M69" s="35"/>
    </row>
    <row r="70" customFormat="false" ht="15" hidden="false" customHeight="false" outlineLevel="0" collapsed="false">
      <c r="B70" s="21" t="s">
        <v>147</v>
      </c>
      <c r="C70" s="21"/>
      <c r="D70" s="21"/>
      <c r="E70" s="21" t="s">
        <v>148</v>
      </c>
      <c r="F70" s="21"/>
      <c r="G70" s="21"/>
      <c r="H70" s="21" t="s">
        <v>149</v>
      </c>
      <c r="I70" s="21"/>
      <c r="J70" s="21"/>
      <c r="K70" s="21" t="s">
        <v>150</v>
      </c>
      <c r="L70" s="21"/>
      <c r="M70" s="21"/>
    </row>
  </sheetData>
  <autoFilter ref="B5:I65"/>
  <mergeCells count="8">
    <mergeCell ref="B68:D69"/>
    <mergeCell ref="E68:G69"/>
    <mergeCell ref="H68:J69"/>
    <mergeCell ref="K68:M69"/>
    <mergeCell ref="B70:D70"/>
    <mergeCell ref="E70:G70"/>
    <mergeCell ref="H70:J70"/>
    <mergeCell ref="K70:M70"/>
  </mergeCells>
  <conditionalFormatting sqref="H6:H65">
    <cfRule type="expression" priority="2" aboveAverage="0" equalAverage="0" bottom="0" percent="0" rank="0" text="" dxfId="4">
      <formula>EXACT(TRIM(H6),"Completed")</formula>
    </cfRule>
    <cfRule type="expression" priority="3" aboveAverage="0" equalAverage="0" bottom="0" percent="0" rank="0" text="" dxfId="6">
      <formula>EXACT(TRIM(H6),"In Progress")</formula>
    </cfRule>
    <cfRule type="expression" priority="4" aboveAverage="0" equalAverage="0" bottom="0" percent="0" rank="0" text="" dxfId="8">
      <formula>EXACT(TRIM(H6),"Not Started")</formula>
    </cfRule>
    <cfRule type="expression" priority="5" aboveAverage="0" equalAverage="0" bottom="0" percent="0" rank="0" text="" dxfId="5">
      <formula>EXACT(TRIM(H6),"Overdue")</formula>
    </cfRule>
  </conditionalFormatting>
  <conditionalFormatting sqref="G6:G65">
    <cfRule type="expression" priority="6" aboveAverage="0" equalAverage="0" bottom="0" percent="0" rank="0" text="" dxfId="5">
      <formula>AND(G6&lt;TODAY(),H6&lt;&gt;"Completed",G6&lt;&gt;"")</formula>
    </cfRule>
  </conditionalFormatting>
  <conditionalFormatting sqref="E6:E65">
    <cfRule type="expression" priority="7" aboveAverage="0" equalAverage="0" bottom="0" percent="0" rank="0" text="" dxfId="7">
      <formula>EXACT(E6,"High")</formula>
    </cfRule>
  </conditionalFormatting>
  <dataValidations count="4">
    <dataValidation allowBlank="true" error="Please choose a value from the list." errorStyle="stop" errorTitle="Invalid entry" operator="between" showDropDown="false" showErrorMessage="false" showInputMessage="false" sqref="B6:B65" type="list">
      <formula1>Lists!$N$2:$N$10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E6:E65" type="list">
      <formula1>Lists!$D$2:$D$4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F6:F65" type="list">
      <formula1>Lists!$J$2:$J$6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H6:H65" type="list">
      <formula1>Lists!$C$2:$C$5</formula1>
      <formula2>0</formula2>
    </dataValidation>
  </dataValidations>
  <hyperlinks>
    <hyperlink ref="B1" r:id="rId1" location="'Dashboard'!A1" display="‹ Dashboard"/>
    <hyperlink ref="C1" r:id="rId2" location="'START%20HERE'!A1" display="‹ Start Here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tableParts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1" min="11" style="0" width="20"/>
  </cols>
  <sheetData>
    <row r="1" customFormat="false" ht="7.5" hidden="false" customHeight="true" outlineLevel="0" collapsed="false">
      <c r="A1" s="9"/>
      <c r="B1" s="10" t="s">
        <v>66</v>
      </c>
      <c r="C1" s="10" t="s">
        <v>42</v>
      </c>
      <c r="D1" s="9"/>
      <c r="E1" s="9"/>
      <c r="F1" s="9"/>
      <c r="G1" s="9"/>
      <c r="H1" s="9"/>
      <c r="I1" s="9"/>
      <c r="J1" s="9"/>
      <c r="K1" s="9"/>
    </row>
    <row r="2" customFormat="false" ht="30" hidden="false" customHeight="true" outlineLevel="0" collapsed="false">
      <c r="A2" s="9"/>
      <c r="B2" s="27" t="s">
        <v>151</v>
      </c>
      <c r="C2" s="9"/>
      <c r="D2" s="9"/>
      <c r="E2" s="9"/>
      <c r="F2" s="9"/>
      <c r="G2" s="9"/>
      <c r="H2" s="9"/>
      <c r="I2" s="9"/>
      <c r="J2" s="9"/>
      <c r="K2" s="9"/>
    </row>
    <row r="3" customFormat="false" ht="19.5" hidden="false" customHeight="true" outlineLevel="0" collapsed="false">
      <c r="A3" s="15"/>
      <c r="B3" s="28" t="s">
        <v>152</v>
      </c>
      <c r="C3" s="15"/>
      <c r="D3" s="15"/>
      <c r="E3" s="15"/>
      <c r="F3" s="15"/>
      <c r="G3" s="15"/>
      <c r="H3" s="15"/>
      <c r="I3" s="15"/>
      <c r="J3" s="15"/>
      <c r="K3" s="15"/>
    </row>
    <row r="5" customFormat="false" ht="15" hidden="false" customHeight="false" outlineLevel="0" collapsed="false">
      <c r="B5" s="29" t="s">
        <v>72</v>
      </c>
      <c r="C5" s="29" t="s">
        <v>153</v>
      </c>
      <c r="D5" s="29" t="s">
        <v>154</v>
      </c>
      <c r="E5" s="29" t="s">
        <v>76</v>
      </c>
      <c r="F5" s="29" t="s">
        <v>77</v>
      </c>
      <c r="G5" s="29" t="s">
        <v>96</v>
      </c>
      <c r="H5" s="29" t="s">
        <v>79</v>
      </c>
      <c r="I5" s="29" t="s">
        <v>80</v>
      </c>
      <c r="J5" s="29" t="s">
        <v>155</v>
      </c>
      <c r="K5" s="29" t="s">
        <v>81</v>
      </c>
    </row>
    <row r="6" customFormat="false" ht="19.5" hidden="false" customHeight="true" outlineLevel="0" collapsed="false">
      <c r="B6" s="30"/>
      <c r="C6" s="31"/>
      <c r="D6" s="32"/>
      <c r="E6" s="32"/>
      <c r="F6" s="32"/>
      <c r="G6" s="32" t="str">
        <f aca="false">IF(D6="","",D6-(E6+F6))</f>
        <v/>
      </c>
      <c r="H6" s="33"/>
      <c r="I6" s="34"/>
      <c r="J6" s="34"/>
      <c r="K6" s="31"/>
    </row>
    <row r="7" customFormat="false" ht="19.5" hidden="false" customHeight="true" outlineLevel="0" collapsed="false">
      <c r="B7" s="30"/>
      <c r="C7" s="31"/>
      <c r="D7" s="32"/>
      <c r="E7" s="32"/>
      <c r="F7" s="32"/>
      <c r="G7" s="32" t="str">
        <f aca="false">IF(D7="","",D7-(E7+F7))</f>
        <v/>
      </c>
      <c r="H7" s="33"/>
      <c r="I7" s="34"/>
      <c r="J7" s="34"/>
      <c r="K7" s="31"/>
    </row>
    <row r="8" customFormat="false" ht="19.5" hidden="false" customHeight="true" outlineLevel="0" collapsed="false">
      <c r="B8" s="30"/>
      <c r="C8" s="31"/>
      <c r="D8" s="32"/>
      <c r="E8" s="32"/>
      <c r="F8" s="32"/>
      <c r="G8" s="32" t="str">
        <f aca="false">IF(D8="","",D8-(E8+F8))</f>
        <v/>
      </c>
      <c r="H8" s="33"/>
      <c r="I8" s="34"/>
      <c r="J8" s="34"/>
      <c r="K8" s="31"/>
    </row>
    <row r="9" customFormat="false" ht="19.5" hidden="false" customHeight="true" outlineLevel="0" collapsed="false">
      <c r="B9" s="30"/>
      <c r="C9" s="31"/>
      <c r="D9" s="32"/>
      <c r="E9" s="32"/>
      <c r="F9" s="32"/>
      <c r="G9" s="32" t="str">
        <f aca="false">IF(D9="","",D9-(E9+F9))</f>
        <v/>
      </c>
      <c r="H9" s="33"/>
      <c r="I9" s="34"/>
      <c r="J9" s="34"/>
      <c r="K9" s="31"/>
    </row>
    <row r="10" customFormat="false" ht="19.5" hidden="false" customHeight="true" outlineLevel="0" collapsed="false">
      <c r="B10" s="30"/>
      <c r="C10" s="31"/>
      <c r="D10" s="32"/>
      <c r="E10" s="32"/>
      <c r="F10" s="32"/>
      <c r="G10" s="32" t="str">
        <f aca="false">IF(D10="","",D10-(E10+F10))</f>
        <v/>
      </c>
      <c r="H10" s="33"/>
      <c r="I10" s="34"/>
      <c r="J10" s="34"/>
      <c r="K10" s="31"/>
    </row>
    <row r="11" customFormat="false" ht="19.5" hidden="false" customHeight="true" outlineLevel="0" collapsed="false">
      <c r="B11" s="30"/>
      <c r="C11" s="31"/>
      <c r="D11" s="32"/>
      <c r="E11" s="32"/>
      <c r="F11" s="32"/>
      <c r="G11" s="32" t="str">
        <f aca="false">IF(D11="","",D11-(E11+F11))</f>
        <v/>
      </c>
      <c r="H11" s="33"/>
      <c r="I11" s="34"/>
      <c r="J11" s="34"/>
      <c r="K11" s="31"/>
    </row>
    <row r="12" customFormat="false" ht="19.5" hidden="false" customHeight="true" outlineLevel="0" collapsed="false">
      <c r="B12" s="30"/>
      <c r="C12" s="31"/>
      <c r="D12" s="32"/>
      <c r="E12" s="32"/>
      <c r="F12" s="32"/>
      <c r="G12" s="32" t="str">
        <f aca="false">IF(D12="","",D12-(E12+F12))</f>
        <v/>
      </c>
      <c r="H12" s="33"/>
      <c r="I12" s="34"/>
      <c r="J12" s="34"/>
      <c r="K12" s="31"/>
    </row>
    <row r="13" customFormat="false" ht="19.5" hidden="false" customHeight="true" outlineLevel="0" collapsed="false">
      <c r="B13" s="30"/>
      <c r="C13" s="31"/>
      <c r="D13" s="32"/>
      <c r="E13" s="32"/>
      <c r="F13" s="32"/>
      <c r="G13" s="32" t="str">
        <f aca="false">IF(D13="","",D13-(E13+F13))</f>
        <v/>
      </c>
      <c r="H13" s="33"/>
      <c r="I13" s="34"/>
      <c r="J13" s="34"/>
      <c r="K13" s="31"/>
    </row>
    <row r="14" customFormat="false" ht="19.5" hidden="false" customHeight="true" outlineLevel="0" collapsed="false">
      <c r="B14" s="30"/>
      <c r="C14" s="31"/>
      <c r="D14" s="32"/>
      <c r="E14" s="32"/>
      <c r="F14" s="32"/>
      <c r="G14" s="32" t="str">
        <f aca="false">IF(D14="","",D14-(E14+F14))</f>
        <v/>
      </c>
      <c r="H14" s="33"/>
      <c r="I14" s="34"/>
      <c r="J14" s="34"/>
      <c r="K14" s="31"/>
    </row>
    <row r="15" customFormat="false" ht="19.5" hidden="false" customHeight="true" outlineLevel="0" collapsed="false">
      <c r="B15" s="30"/>
      <c r="C15" s="31"/>
      <c r="D15" s="32"/>
      <c r="E15" s="32"/>
      <c r="F15" s="32"/>
      <c r="G15" s="32" t="str">
        <f aca="false">IF(D15="","",D15-(E15+F15))</f>
        <v/>
      </c>
      <c r="H15" s="33"/>
      <c r="I15" s="34"/>
      <c r="J15" s="34"/>
      <c r="K15" s="31"/>
    </row>
    <row r="16" customFormat="false" ht="19.5" hidden="false" customHeight="true" outlineLevel="0" collapsed="false">
      <c r="B16" s="30"/>
      <c r="C16" s="31"/>
      <c r="D16" s="32"/>
      <c r="E16" s="32"/>
      <c r="F16" s="32"/>
      <c r="G16" s="32" t="str">
        <f aca="false">IF(D16="","",D16-(E16+F16))</f>
        <v/>
      </c>
      <c r="H16" s="33"/>
      <c r="I16" s="34"/>
      <c r="J16" s="34"/>
      <c r="K16" s="31"/>
    </row>
    <row r="17" customFormat="false" ht="19.5" hidden="false" customHeight="true" outlineLevel="0" collapsed="false">
      <c r="B17" s="30"/>
      <c r="C17" s="31"/>
      <c r="D17" s="32"/>
      <c r="E17" s="32"/>
      <c r="F17" s="32"/>
      <c r="G17" s="32" t="str">
        <f aca="false">IF(D17="","",D17-(E17+F17))</f>
        <v/>
      </c>
      <c r="H17" s="33"/>
      <c r="I17" s="34"/>
      <c r="J17" s="34"/>
      <c r="K17" s="31"/>
    </row>
    <row r="18" customFormat="false" ht="19.5" hidden="false" customHeight="true" outlineLevel="0" collapsed="false">
      <c r="B18" s="30"/>
      <c r="C18" s="31"/>
      <c r="D18" s="32"/>
      <c r="E18" s="32"/>
      <c r="F18" s="32"/>
      <c r="G18" s="32" t="str">
        <f aca="false">IF(D18="","",D18-(E18+F18))</f>
        <v/>
      </c>
      <c r="H18" s="33"/>
      <c r="I18" s="34"/>
      <c r="J18" s="34"/>
      <c r="K18" s="31"/>
    </row>
    <row r="19" customFormat="false" ht="19.5" hidden="false" customHeight="true" outlineLevel="0" collapsed="false">
      <c r="B19" s="30"/>
      <c r="C19" s="31"/>
      <c r="D19" s="32"/>
      <c r="E19" s="32"/>
      <c r="F19" s="32"/>
      <c r="G19" s="32" t="str">
        <f aca="false">IF(D19="","",D19-(E19+F19))</f>
        <v/>
      </c>
      <c r="H19" s="33"/>
      <c r="I19" s="34"/>
      <c r="J19" s="34"/>
      <c r="K19" s="31"/>
    </row>
    <row r="20" customFormat="false" ht="19.5" hidden="false" customHeight="true" outlineLevel="0" collapsed="false">
      <c r="B20" s="30"/>
      <c r="C20" s="31"/>
      <c r="D20" s="32"/>
      <c r="E20" s="32"/>
      <c r="F20" s="32"/>
      <c r="G20" s="32" t="str">
        <f aca="false">IF(D20="","",D20-(E20+F20))</f>
        <v/>
      </c>
      <c r="H20" s="33"/>
      <c r="I20" s="34"/>
      <c r="J20" s="34"/>
      <c r="K20" s="31"/>
    </row>
    <row r="21" customFormat="false" ht="19.5" hidden="false" customHeight="true" outlineLevel="0" collapsed="false">
      <c r="B21" s="30"/>
      <c r="C21" s="31"/>
      <c r="D21" s="32"/>
      <c r="E21" s="32"/>
      <c r="F21" s="32"/>
      <c r="G21" s="32" t="str">
        <f aca="false">IF(D21="","",D21-(E21+F21))</f>
        <v/>
      </c>
      <c r="H21" s="33"/>
      <c r="I21" s="34"/>
      <c r="J21" s="34"/>
      <c r="K21" s="31"/>
    </row>
    <row r="22" customFormat="false" ht="19.5" hidden="false" customHeight="true" outlineLevel="0" collapsed="false">
      <c r="B22" s="30"/>
      <c r="C22" s="31"/>
      <c r="D22" s="32"/>
      <c r="E22" s="32"/>
      <c r="F22" s="32"/>
      <c r="G22" s="32" t="str">
        <f aca="false">IF(D22="","",D22-(E22+F22))</f>
        <v/>
      </c>
      <c r="H22" s="33"/>
      <c r="I22" s="34"/>
      <c r="J22" s="34"/>
      <c r="K22" s="31"/>
    </row>
    <row r="23" customFormat="false" ht="19.5" hidden="false" customHeight="true" outlineLevel="0" collapsed="false">
      <c r="B23" s="30"/>
      <c r="C23" s="31"/>
      <c r="D23" s="32"/>
      <c r="E23" s="32"/>
      <c r="F23" s="32"/>
      <c r="G23" s="32" t="str">
        <f aca="false">IF(D23="","",D23-(E23+F23))</f>
        <v/>
      </c>
      <c r="H23" s="33"/>
      <c r="I23" s="34"/>
      <c r="J23" s="34"/>
      <c r="K23" s="31"/>
    </row>
    <row r="24" customFormat="false" ht="19.5" hidden="false" customHeight="true" outlineLevel="0" collapsed="false">
      <c r="B24" s="30"/>
      <c r="C24" s="31"/>
      <c r="D24" s="32"/>
      <c r="E24" s="32"/>
      <c r="F24" s="32"/>
      <c r="G24" s="32" t="str">
        <f aca="false">IF(D24="","",D24-(E24+F24))</f>
        <v/>
      </c>
      <c r="H24" s="33"/>
      <c r="I24" s="34"/>
      <c r="J24" s="34"/>
      <c r="K24" s="31"/>
    </row>
    <row r="25" customFormat="false" ht="19.5" hidden="false" customHeight="true" outlineLevel="0" collapsed="false">
      <c r="B25" s="30"/>
      <c r="C25" s="31"/>
      <c r="D25" s="32"/>
      <c r="E25" s="32"/>
      <c r="F25" s="32"/>
      <c r="G25" s="32" t="str">
        <f aca="false">IF(D25="","",D25-(E25+F25))</f>
        <v/>
      </c>
      <c r="H25" s="33"/>
      <c r="I25" s="34"/>
      <c r="J25" s="34"/>
      <c r="K25" s="31"/>
    </row>
    <row r="26" customFormat="false" ht="19.5" hidden="false" customHeight="true" outlineLevel="0" collapsed="false">
      <c r="B26" s="30"/>
      <c r="C26" s="31"/>
      <c r="D26" s="32"/>
      <c r="E26" s="32"/>
      <c r="F26" s="32"/>
      <c r="G26" s="32" t="str">
        <f aca="false">IF(D26="","",D26-(E26+F26))</f>
        <v/>
      </c>
      <c r="H26" s="33"/>
      <c r="I26" s="34"/>
      <c r="J26" s="34"/>
      <c r="K26" s="31"/>
    </row>
    <row r="27" customFormat="false" ht="19.5" hidden="false" customHeight="true" outlineLevel="0" collapsed="false">
      <c r="B27" s="30"/>
      <c r="C27" s="31"/>
      <c r="D27" s="32"/>
      <c r="E27" s="32"/>
      <c r="F27" s="32"/>
      <c r="G27" s="32" t="str">
        <f aca="false">IF(D27="","",D27-(E27+F27))</f>
        <v/>
      </c>
      <c r="H27" s="33"/>
      <c r="I27" s="34"/>
      <c r="J27" s="34"/>
      <c r="K27" s="31"/>
    </row>
    <row r="28" customFormat="false" ht="19.5" hidden="false" customHeight="true" outlineLevel="0" collapsed="false">
      <c r="B28" s="30"/>
      <c r="C28" s="31"/>
      <c r="D28" s="32"/>
      <c r="E28" s="32"/>
      <c r="F28" s="32"/>
      <c r="G28" s="32" t="str">
        <f aca="false">IF(D28="","",D28-(E28+F28))</f>
        <v/>
      </c>
      <c r="H28" s="33"/>
      <c r="I28" s="34"/>
      <c r="J28" s="34"/>
      <c r="K28" s="31"/>
    </row>
    <row r="29" customFormat="false" ht="19.5" hidden="false" customHeight="true" outlineLevel="0" collapsed="false">
      <c r="B29" s="30"/>
      <c r="C29" s="31"/>
      <c r="D29" s="32"/>
      <c r="E29" s="32"/>
      <c r="F29" s="32"/>
      <c r="G29" s="32" t="str">
        <f aca="false">IF(D29="","",D29-(E29+F29))</f>
        <v/>
      </c>
      <c r="H29" s="33"/>
      <c r="I29" s="34"/>
      <c r="J29" s="34"/>
      <c r="K29" s="31"/>
    </row>
    <row r="31" customFormat="false" ht="15" hidden="false" customHeight="false" outlineLevel="0" collapsed="false">
      <c r="B31" s="16" t="s">
        <v>156</v>
      </c>
    </row>
    <row r="32" customFormat="false" ht="15" hidden="false" customHeight="false" outlineLevel="0" collapsed="false">
      <c r="B32" s="17" t="n">
        <f aca="false">SUM(D6:D29)</f>
        <v>0</v>
      </c>
      <c r="C32" s="17"/>
      <c r="D32" s="17"/>
      <c r="E32" s="17" t="n">
        <f aca="false">SUM(E6:E29)+SUM(F6:F29)</f>
        <v>0</v>
      </c>
      <c r="F32" s="17"/>
      <c r="G32" s="17"/>
      <c r="H32" s="17" t="n">
        <f aca="false">SUM(G6:G29)</f>
        <v>0</v>
      </c>
      <c r="I32" s="17"/>
      <c r="J32" s="17"/>
      <c r="K32" s="22" t="n">
        <f aca="true">COUNTIFS(H6:H29,"&lt;"&amp;TODAY(),I6:I29,"&lt;&gt;Paid in Full")</f>
        <v>0</v>
      </c>
      <c r="L32" s="22"/>
      <c r="M32" s="22"/>
    </row>
    <row r="33" customFormat="false" ht="15" hidden="false" customHeight="false" outlineLevel="0" collapsed="false">
      <c r="B33" s="17"/>
      <c r="C33" s="17"/>
      <c r="D33" s="17"/>
      <c r="E33" s="17"/>
      <c r="F33" s="17"/>
      <c r="G33" s="17"/>
      <c r="H33" s="17"/>
      <c r="I33" s="17"/>
      <c r="J33" s="17"/>
      <c r="K33" s="22"/>
      <c r="L33" s="22"/>
      <c r="M33" s="22"/>
    </row>
    <row r="34" customFormat="false" ht="15" hidden="false" customHeight="false" outlineLevel="0" collapsed="false">
      <c r="B34" s="21" t="s">
        <v>157</v>
      </c>
      <c r="C34" s="21"/>
      <c r="D34" s="21"/>
      <c r="E34" s="21" t="s">
        <v>158</v>
      </c>
      <c r="F34" s="21"/>
      <c r="G34" s="21"/>
      <c r="H34" s="21" t="s">
        <v>85</v>
      </c>
      <c r="I34" s="21"/>
      <c r="J34" s="21"/>
      <c r="K34" s="21" t="s">
        <v>159</v>
      </c>
      <c r="L34" s="21"/>
      <c r="M34" s="21"/>
    </row>
  </sheetData>
  <autoFilter ref="B5:K29"/>
  <mergeCells count="8">
    <mergeCell ref="B32:D33"/>
    <mergeCell ref="E32:G33"/>
    <mergeCell ref="H32:J33"/>
    <mergeCell ref="K32:M33"/>
    <mergeCell ref="B34:D34"/>
    <mergeCell ref="E34:G34"/>
    <mergeCell ref="H34:J34"/>
    <mergeCell ref="K34:M34"/>
  </mergeCells>
  <conditionalFormatting sqref="I6:I29">
    <cfRule type="expression" priority="2" aboveAverage="0" equalAverage="0" bottom="0" percent="0" rank="0" text="" dxfId="4">
      <formula>EXACT(TRIM(I6),"Paid in Full")</formula>
    </cfRule>
    <cfRule type="expression" priority="3" aboveAverage="0" equalAverage="0" bottom="0" percent="0" rank="0" text="" dxfId="5">
      <formula>EXACT(TRIM(I6),"Overdue")</formula>
    </cfRule>
    <cfRule type="expression" priority="4" aboveAverage="0" equalAverage="0" bottom="0" percent="0" rank="0" text="" dxfId="6">
      <formula>EXACT(TRIM(I6),"Deposit Paid")</formula>
    </cfRule>
    <cfRule type="expression" priority="5" aboveAverage="0" equalAverage="0" bottom="0" percent="0" rank="0" text="" dxfId="6">
      <formula>EXACT(TRIM(I6),"Partially Paid")</formula>
    </cfRule>
    <cfRule type="expression" priority="6" aboveAverage="0" equalAverage="0" bottom="0" percent="0" rank="0" text="" dxfId="7">
      <formula>EXACT(TRIM(I6),"Not Started")</formula>
    </cfRule>
  </conditionalFormatting>
  <conditionalFormatting sqref="H6:H29">
    <cfRule type="expression" priority="7" aboveAverage="0" equalAverage="0" bottom="0" percent="0" rank="0" text="" dxfId="5">
      <formula>AND(H6&lt;TODAY(),I6&lt;&gt;"Paid in Full",H6&lt;&gt;"")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I6:I29" type="list">
      <formula1>Lists!$B$2:$B$6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J6:J29" type="list">
      <formula1>Lists!$K$2:$K$6</formula1>
      <formula2>0</formula2>
    </dataValidation>
  </dataValidations>
  <hyperlinks>
    <hyperlink ref="B1" r:id="rId1" location="'Dashboard'!A1" display="‹ Dashboard"/>
    <hyperlink ref="C1" r:id="rId2" location="'START%20HERE'!A1" display="‹ Start Here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tableParts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tru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7.5" hidden="false" customHeight="true" outlineLevel="0" collapsed="false">
      <c r="A1" s="9"/>
      <c r="B1" s="10" t="s">
        <v>66</v>
      </c>
      <c r="C1" s="10" t="s">
        <v>42</v>
      </c>
      <c r="D1" s="9"/>
      <c r="E1" s="9"/>
      <c r="F1" s="9"/>
      <c r="G1" s="9"/>
      <c r="H1" s="9"/>
      <c r="I1" s="9"/>
    </row>
    <row r="2" customFormat="false" ht="30" hidden="false" customHeight="true" outlineLevel="0" collapsed="false">
      <c r="A2" s="9"/>
      <c r="B2" s="27" t="s">
        <v>160</v>
      </c>
      <c r="C2" s="9"/>
      <c r="D2" s="9"/>
      <c r="E2" s="9"/>
      <c r="F2" s="9"/>
      <c r="G2" s="9"/>
      <c r="H2" s="9"/>
      <c r="I2" s="9"/>
    </row>
    <row r="3" customFormat="false" ht="19.5" hidden="false" customHeight="true" outlineLevel="0" collapsed="false">
      <c r="A3" s="15"/>
      <c r="B3" s="28" t="s">
        <v>161</v>
      </c>
      <c r="C3" s="15"/>
      <c r="D3" s="15"/>
      <c r="E3" s="15"/>
      <c r="F3" s="15"/>
      <c r="G3" s="15"/>
      <c r="H3" s="15"/>
      <c r="I3" s="15"/>
    </row>
    <row r="5" customFormat="false" ht="15" hidden="false" customHeight="false" outlineLevel="0" collapsed="false">
      <c r="B5" s="29" t="s">
        <v>162</v>
      </c>
      <c r="C5" s="29" t="s">
        <v>163</v>
      </c>
      <c r="D5" s="29" t="s">
        <v>107</v>
      </c>
      <c r="E5" s="29" t="s">
        <v>91</v>
      </c>
      <c r="F5" s="29" t="s">
        <v>92</v>
      </c>
      <c r="G5" s="29" t="s">
        <v>164</v>
      </c>
      <c r="H5" s="29" t="s">
        <v>165</v>
      </c>
      <c r="I5" s="29" t="s">
        <v>81</v>
      </c>
    </row>
    <row r="6" customFormat="false" ht="19.5" hidden="false" customHeight="true" outlineLevel="0" collapsed="false">
      <c r="B6" s="30"/>
      <c r="C6" s="30"/>
      <c r="D6" s="34"/>
      <c r="E6" s="30"/>
      <c r="F6" s="30"/>
      <c r="G6" s="31"/>
      <c r="H6" s="30"/>
      <c r="I6" s="31"/>
    </row>
    <row r="7" customFormat="false" ht="19.5" hidden="false" customHeight="true" outlineLevel="0" collapsed="false">
      <c r="B7" s="30"/>
      <c r="C7" s="30"/>
      <c r="D7" s="34"/>
      <c r="E7" s="30"/>
      <c r="F7" s="30"/>
      <c r="G7" s="31"/>
      <c r="H7" s="30"/>
      <c r="I7" s="31"/>
    </row>
    <row r="8" customFormat="false" ht="19.5" hidden="false" customHeight="true" outlineLevel="0" collapsed="false">
      <c r="B8" s="30"/>
      <c r="C8" s="30"/>
      <c r="D8" s="34"/>
      <c r="E8" s="30"/>
      <c r="F8" s="30"/>
      <c r="G8" s="31"/>
      <c r="H8" s="30"/>
      <c r="I8" s="31"/>
    </row>
    <row r="9" customFormat="false" ht="19.5" hidden="false" customHeight="true" outlineLevel="0" collapsed="false">
      <c r="B9" s="30"/>
      <c r="C9" s="30"/>
      <c r="D9" s="34"/>
      <c r="E9" s="30"/>
      <c r="F9" s="30"/>
      <c r="G9" s="31"/>
      <c r="H9" s="30"/>
      <c r="I9" s="31"/>
    </row>
    <row r="10" customFormat="false" ht="19.5" hidden="false" customHeight="true" outlineLevel="0" collapsed="false">
      <c r="B10" s="30"/>
      <c r="C10" s="30"/>
      <c r="D10" s="34"/>
      <c r="E10" s="30"/>
      <c r="F10" s="30"/>
      <c r="G10" s="31"/>
      <c r="H10" s="30"/>
      <c r="I10" s="31"/>
    </row>
    <row r="11" customFormat="false" ht="19.5" hidden="false" customHeight="true" outlineLevel="0" collapsed="false">
      <c r="B11" s="30"/>
      <c r="C11" s="30"/>
      <c r="D11" s="34"/>
      <c r="E11" s="30"/>
      <c r="F11" s="30"/>
      <c r="G11" s="31"/>
      <c r="H11" s="30"/>
      <c r="I11" s="31"/>
    </row>
    <row r="12" customFormat="false" ht="19.5" hidden="false" customHeight="true" outlineLevel="0" collapsed="false">
      <c r="B12" s="30"/>
      <c r="C12" s="30"/>
      <c r="D12" s="34"/>
      <c r="E12" s="30"/>
      <c r="F12" s="30"/>
      <c r="G12" s="31"/>
      <c r="H12" s="30"/>
      <c r="I12" s="31"/>
    </row>
    <row r="13" customFormat="false" ht="19.5" hidden="false" customHeight="true" outlineLevel="0" collapsed="false">
      <c r="B13" s="30"/>
      <c r="C13" s="30"/>
      <c r="D13" s="34"/>
      <c r="E13" s="30"/>
      <c r="F13" s="30"/>
      <c r="G13" s="31"/>
      <c r="H13" s="30"/>
      <c r="I13" s="31"/>
    </row>
    <row r="14" customFormat="false" ht="19.5" hidden="false" customHeight="true" outlineLevel="0" collapsed="false">
      <c r="B14" s="30"/>
      <c r="C14" s="30"/>
      <c r="D14" s="34"/>
      <c r="E14" s="30"/>
      <c r="F14" s="30"/>
      <c r="G14" s="31"/>
      <c r="H14" s="30"/>
      <c r="I14" s="31"/>
    </row>
    <row r="15" customFormat="false" ht="19.5" hidden="false" customHeight="true" outlineLevel="0" collapsed="false">
      <c r="B15" s="30"/>
      <c r="C15" s="30"/>
      <c r="D15" s="34"/>
      <c r="E15" s="30"/>
      <c r="F15" s="30"/>
      <c r="G15" s="31"/>
      <c r="H15" s="30"/>
      <c r="I15" s="31"/>
    </row>
    <row r="16" customFormat="false" ht="19.5" hidden="false" customHeight="true" outlineLevel="0" collapsed="false">
      <c r="B16" s="30"/>
      <c r="C16" s="30"/>
      <c r="D16" s="34"/>
      <c r="E16" s="30"/>
      <c r="F16" s="30"/>
      <c r="G16" s="31"/>
      <c r="H16" s="30"/>
      <c r="I16" s="31"/>
    </row>
    <row r="17" customFormat="false" ht="19.5" hidden="false" customHeight="true" outlineLevel="0" collapsed="false">
      <c r="B17" s="30"/>
      <c r="C17" s="30"/>
      <c r="D17" s="34"/>
      <c r="E17" s="30"/>
      <c r="F17" s="30"/>
      <c r="G17" s="31"/>
      <c r="H17" s="30"/>
      <c r="I17" s="31"/>
    </row>
  </sheetData>
  <autoFilter ref="B5:I17"/>
  <dataValidations count="1">
    <dataValidation allowBlank="true" error="Please choose a value from the list." errorStyle="stop" errorTitle="Invalid entry" operator="between" showDropDown="false" showErrorMessage="false" showInputMessage="false" sqref="D6:D17" type="list">
      <formula1>Lists!$I$2:$I$4</formula1>
      <formula2>0</formula2>
    </dataValidation>
  </dataValidations>
  <hyperlinks>
    <hyperlink ref="B1" r:id="rId1" location="'Dashboard'!A1" display="‹ Dashboard"/>
    <hyperlink ref="C1" r:id="rId2" location="'START%20HERE'!A1" display="‹ Start Here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tableParts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true"/>
  </sheetPr>
  <dimension ref="A1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9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9"/>
    <col collapsed="false" customWidth="true" hidden="false" outlineLevel="0" max="14" min="14" style="0" width="24"/>
  </cols>
  <sheetData>
    <row r="1" customFormat="false" ht="7.5" hidden="false" customHeight="true" outlineLevel="0" collapsed="false">
      <c r="A1" s="9"/>
      <c r="B1" s="10" t="s">
        <v>66</v>
      </c>
      <c r="C1" s="10" t="s">
        <v>42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30" hidden="false" customHeight="true" outlineLevel="0" collapsed="false">
      <c r="A2" s="9"/>
      <c r="B2" s="27" t="s">
        <v>166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9.5" hidden="false" customHeight="true" outlineLevel="0" collapsed="false">
      <c r="A3" s="15"/>
      <c r="B3" s="28" t="s">
        <v>167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5" customFormat="false" ht="15" hidden="false" customHeight="false" outlineLevel="0" collapsed="false">
      <c r="B5" s="29" t="s">
        <v>168</v>
      </c>
      <c r="C5" s="29" t="s">
        <v>137</v>
      </c>
      <c r="D5" s="29" t="s">
        <v>126</v>
      </c>
      <c r="E5" s="29" t="s">
        <v>169</v>
      </c>
      <c r="F5" s="29" t="s">
        <v>170</v>
      </c>
      <c r="G5" s="29" t="s">
        <v>76</v>
      </c>
      <c r="H5" s="29" t="s">
        <v>171</v>
      </c>
      <c r="I5" s="29" t="s">
        <v>172</v>
      </c>
      <c r="J5" s="29" t="s">
        <v>173</v>
      </c>
      <c r="K5" s="29" t="s">
        <v>174</v>
      </c>
      <c r="L5" s="29" t="s">
        <v>175</v>
      </c>
      <c r="M5" s="29" t="s">
        <v>98</v>
      </c>
      <c r="N5" s="29" t="s">
        <v>81</v>
      </c>
    </row>
    <row r="6" customFormat="false" ht="19.5" hidden="false" customHeight="true" outlineLevel="0" collapsed="false">
      <c r="B6" s="30"/>
      <c r="C6" s="30"/>
      <c r="D6" s="36"/>
      <c r="E6" s="32"/>
      <c r="F6" s="32"/>
      <c r="G6" s="32"/>
      <c r="H6" s="34"/>
      <c r="I6" s="34"/>
      <c r="J6" s="34"/>
      <c r="K6" s="34"/>
      <c r="L6" s="34"/>
      <c r="M6" s="34"/>
      <c r="N6" s="31"/>
    </row>
    <row r="7" customFormat="false" ht="19.5" hidden="false" customHeight="true" outlineLevel="0" collapsed="false">
      <c r="B7" s="30"/>
      <c r="C7" s="30"/>
      <c r="D7" s="36"/>
      <c r="E7" s="32"/>
      <c r="F7" s="32"/>
      <c r="G7" s="32"/>
      <c r="H7" s="34"/>
      <c r="I7" s="34"/>
      <c r="J7" s="34"/>
      <c r="K7" s="34"/>
      <c r="L7" s="34"/>
      <c r="M7" s="34"/>
      <c r="N7" s="31"/>
    </row>
    <row r="8" customFormat="false" ht="19.5" hidden="false" customHeight="true" outlineLevel="0" collapsed="false">
      <c r="B8" s="30"/>
      <c r="C8" s="30"/>
      <c r="D8" s="36"/>
      <c r="E8" s="32"/>
      <c r="F8" s="32"/>
      <c r="G8" s="32"/>
      <c r="H8" s="34"/>
      <c r="I8" s="34"/>
      <c r="J8" s="34"/>
      <c r="K8" s="34"/>
      <c r="L8" s="34"/>
      <c r="M8" s="34"/>
      <c r="N8" s="31"/>
    </row>
    <row r="9" customFormat="false" ht="19.5" hidden="false" customHeight="true" outlineLevel="0" collapsed="false">
      <c r="B9" s="30"/>
      <c r="C9" s="30"/>
      <c r="D9" s="36"/>
      <c r="E9" s="32"/>
      <c r="F9" s="32"/>
      <c r="G9" s="32"/>
      <c r="H9" s="34"/>
      <c r="I9" s="34"/>
      <c r="J9" s="34"/>
      <c r="K9" s="34"/>
      <c r="L9" s="34"/>
      <c r="M9" s="34"/>
      <c r="N9" s="31"/>
    </row>
    <row r="10" customFormat="false" ht="19.5" hidden="false" customHeight="true" outlineLevel="0" collapsed="false">
      <c r="B10" s="30"/>
      <c r="C10" s="30"/>
      <c r="D10" s="36"/>
      <c r="E10" s="32"/>
      <c r="F10" s="32"/>
      <c r="G10" s="32"/>
      <c r="H10" s="34"/>
      <c r="I10" s="34"/>
      <c r="J10" s="34"/>
      <c r="K10" s="34"/>
      <c r="L10" s="34"/>
      <c r="M10" s="34"/>
      <c r="N10" s="31"/>
    </row>
    <row r="11" customFormat="false" ht="19.5" hidden="false" customHeight="true" outlineLevel="0" collapsed="false">
      <c r="B11" s="30"/>
      <c r="C11" s="30"/>
      <c r="D11" s="36"/>
      <c r="E11" s="32"/>
      <c r="F11" s="32"/>
      <c r="G11" s="32"/>
      <c r="H11" s="34"/>
      <c r="I11" s="34"/>
      <c r="J11" s="34"/>
      <c r="K11" s="34"/>
      <c r="L11" s="34"/>
      <c r="M11" s="34"/>
      <c r="N11" s="31"/>
    </row>
    <row r="12" customFormat="false" ht="19.5" hidden="false" customHeight="true" outlineLevel="0" collapsed="false">
      <c r="B12" s="30"/>
      <c r="C12" s="30"/>
      <c r="D12" s="36"/>
      <c r="E12" s="32"/>
      <c r="F12" s="32"/>
      <c r="G12" s="32"/>
      <c r="H12" s="34"/>
      <c r="I12" s="34"/>
      <c r="J12" s="34"/>
      <c r="K12" s="34"/>
      <c r="L12" s="34"/>
      <c r="M12" s="34"/>
      <c r="N12" s="31"/>
    </row>
    <row r="13" customFormat="false" ht="19.5" hidden="false" customHeight="true" outlineLevel="0" collapsed="false">
      <c r="B13" s="30"/>
      <c r="C13" s="30"/>
      <c r="D13" s="36"/>
      <c r="E13" s="32"/>
      <c r="F13" s="32"/>
      <c r="G13" s="32"/>
      <c r="H13" s="34"/>
      <c r="I13" s="34"/>
      <c r="J13" s="34"/>
      <c r="K13" s="34"/>
      <c r="L13" s="34"/>
      <c r="M13" s="34"/>
      <c r="N13" s="31"/>
    </row>
    <row r="14" customFormat="false" ht="19.5" hidden="false" customHeight="true" outlineLevel="0" collapsed="false">
      <c r="B14" s="30"/>
      <c r="C14" s="30"/>
      <c r="D14" s="36"/>
      <c r="E14" s="32"/>
      <c r="F14" s="32"/>
      <c r="G14" s="32"/>
      <c r="H14" s="34"/>
      <c r="I14" s="34"/>
      <c r="J14" s="34"/>
      <c r="K14" s="34"/>
      <c r="L14" s="34"/>
      <c r="M14" s="34"/>
      <c r="N14" s="31"/>
    </row>
    <row r="15" customFormat="false" ht="19.5" hidden="false" customHeight="true" outlineLevel="0" collapsed="false">
      <c r="B15" s="30"/>
      <c r="C15" s="30"/>
      <c r="D15" s="36"/>
      <c r="E15" s="32"/>
      <c r="F15" s="32"/>
      <c r="G15" s="32"/>
      <c r="H15" s="34"/>
      <c r="I15" s="34"/>
      <c r="J15" s="34"/>
      <c r="K15" s="34"/>
      <c r="L15" s="34"/>
      <c r="M15" s="34"/>
      <c r="N15" s="31"/>
    </row>
  </sheetData>
  <autoFilter ref="B5:N15"/>
  <dataValidations count="5">
    <dataValidation allowBlank="true" error="Please choose a value from the list." errorStyle="stop" errorTitle="Invalid entry" operator="between" showDropDown="false" showErrorMessage="false" showInputMessage="false" sqref="I6:I15" type="list">
      <formula1>Lists!$L$2:$L$3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J6:J15" type="list">
      <formula1>Lists!$L$2:$L$3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K6:K15" type="list">
      <formula1>Lists!$L$2:$L$3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L6:L15" type="list">
      <formula1>Lists!$L$2:$L$3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M6:M15" type="list">
      <formula1>Lists!$Q$2:$Q$6</formula1>
      <formula2>0</formula2>
    </dataValidation>
  </dataValidations>
  <hyperlinks>
    <hyperlink ref="B1" r:id="rId1" location="'Dashboard'!A1" display="‹ Dashboard"/>
    <hyperlink ref="C1" r:id="rId2" location="'START%20HERE'!A1" display="‹ Start Here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tableParts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20"/>
  </cols>
  <sheetData>
    <row r="1" customFormat="false" ht="7.5" hidden="false" customHeight="true" outlineLevel="0" collapsed="false">
      <c r="A1" s="9"/>
      <c r="B1" s="10" t="s">
        <v>66</v>
      </c>
      <c r="C1" s="10" t="s">
        <v>42</v>
      </c>
      <c r="D1" s="9"/>
      <c r="E1" s="9"/>
      <c r="F1" s="9"/>
      <c r="G1" s="9"/>
      <c r="H1" s="9"/>
      <c r="I1" s="9"/>
    </row>
    <row r="2" customFormat="false" ht="30" hidden="false" customHeight="true" outlineLevel="0" collapsed="false">
      <c r="A2" s="9"/>
      <c r="B2" s="27" t="s">
        <v>176</v>
      </c>
      <c r="C2" s="9"/>
      <c r="D2" s="9"/>
      <c r="E2" s="9"/>
      <c r="F2" s="9"/>
      <c r="G2" s="9"/>
      <c r="H2" s="9"/>
      <c r="I2" s="9"/>
    </row>
    <row r="3" customFormat="false" ht="19.5" hidden="false" customHeight="true" outlineLevel="0" collapsed="false">
      <c r="A3" s="15"/>
      <c r="B3" s="28" t="s">
        <v>177</v>
      </c>
      <c r="C3" s="15"/>
      <c r="D3" s="15"/>
      <c r="E3" s="15"/>
      <c r="F3" s="15"/>
      <c r="G3" s="15"/>
      <c r="H3" s="15"/>
      <c r="I3" s="15"/>
    </row>
    <row r="5" customFormat="false" ht="15" hidden="false" customHeight="false" outlineLevel="0" collapsed="false">
      <c r="B5" s="29" t="s">
        <v>178</v>
      </c>
      <c r="C5" s="29" t="s">
        <v>179</v>
      </c>
      <c r="D5" s="29" t="s">
        <v>69</v>
      </c>
      <c r="E5" s="29" t="s">
        <v>180</v>
      </c>
      <c r="F5" s="29" t="s">
        <v>181</v>
      </c>
      <c r="G5" s="29" t="s">
        <v>182</v>
      </c>
      <c r="H5" s="29" t="s">
        <v>183</v>
      </c>
      <c r="I5" s="29" t="s">
        <v>81</v>
      </c>
    </row>
    <row r="6" customFormat="false" ht="19.5" hidden="false" customHeight="true" outlineLevel="0" collapsed="false">
      <c r="B6" s="30"/>
      <c r="C6" s="31"/>
      <c r="D6" s="34"/>
      <c r="E6" s="36"/>
      <c r="F6" s="32"/>
      <c r="G6" s="32" t="str">
        <f aca="false">IF(E6="","",E6*F6)</f>
        <v/>
      </c>
      <c r="H6" s="30"/>
      <c r="I6" s="31"/>
    </row>
    <row r="7" customFormat="false" ht="19.5" hidden="false" customHeight="true" outlineLevel="0" collapsed="false">
      <c r="B7" s="30"/>
      <c r="C7" s="31"/>
      <c r="D7" s="34"/>
      <c r="E7" s="36"/>
      <c r="F7" s="32"/>
      <c r="G7" s="32" t="str">
        <f aca="false">IF(E7="","",E7*F7)</f>
        <v/>
      </c>
      <c r="H7" s="30"/>
      <c r="I7" s="31"/>
    </row>
    <row r="8" customFormat="false" ht="19.5" hidden="false" customHeight="true" outlineLevel="0" collapsed="false">
      <c r="B8" s="30"/>
      <c r="C8" s="31"/>
      <c r="D8" s="34"/>
      <c r="E8" s="36"/>
      <c r="F8" s="32"/>
      <c r="G8" s="32" t="str">
        <f aca="false">IF(E8="","",E8*F8)</f>
        <v/>
      </c>
      <c r="H8" s="30"/>
      <c r="I8" s="31"/>
    </row>
    <row r="9" customFormat="false" ht="19.5" hidden="false" customHeight="true" outlineLevel="0" collapsed="false">
      <c r="B9" s="30"/>
      <c r="C9" s="31"/>
      <c r="D9" s="34"/>
      <c r="E9" s="36"/>
      <c r="F9" s="32"/>
      <c r="G9" s="32" t="str">
        <f aca="false">IF(E9="","",E9*F9)</f>
        <v/>
      </c>
      <c r="H9" s="30"/>
      <c r="I9" s="31"/>
    </row>
    <row r="10" customFormat="false" ht="19.5" hidden="false" customHeight="true" outlineLevel="0" collapsed="false">
      <c r="B10" s="30"/>
      <c r="C10" s="31"/>
      <c r="D10" s="34"/>
      <c r="E10" s="36"/>
      <c r="F10" s="32"/>
      <c r="G10" s="32" t="str">
        <f aca="false">IF(E10="","",E10*F10)</f>
        <v/>
      </c>
      <c r="H10" s="30"/>
      <c r="I10" s="31"/>
    </row>
    <row r="11" customFormat="false" ht="19.5" hidden="false" customHeight="true" outlineLevel="0" collapsed="false">
      <c r="B11" s="30"/>
      <c r="C11" s="31"/>
      <c r="D11" s="34"/>
      <c r="E11" s="36"/>
      <c r="F11" s="32"/>
      <c r="G11" s="32" t="str">
        <f aca="false">IF(E11="","",E11*F11)</f>
        <v/>
      </c>
      <c r="H11" s="30"/>
      <c r="I11" s="31"/>
    </row>
    <row r="12" customFormat="false" ht="19.5" hidden="false" customHeight="true" outlineLevel="0" collapsed="false">
      <c r="B12" s="30"/>
      <c r="C12" s="31"/>
      <c r="D12" s="34"/>
      <c r="E12" s="36"/>
      <c r="F12" s="32"/>
      <c r="G12" s="32" t="str">
        <f aca="false">IF(E12="","",E12*F12)</f>
        <v/>
      </c>
      <c r="H12" s="30"/>
      <c r="I12" s="31"/>
    </row>
    <row r="13" customFormat="false" ht="19.5" hidden="false" customHeight="true" outlineLevel="0" collapsed="false">
      <c r="B13" s="30"/>
      <c r="C13" s="31"/>
      <c r="D13" s="34"/>
      <c r="E13" s="36"/>
      <c r="F13" s="32"/>
      <c r="G13" s="32" t="str">
        <f aca="false">IF(E13="","",E13*F13)</f>
        <v/>
      </c>
      <c r="H13" s="30"/>
      <c r="I13" s="31"/>
    </row>
    <row r="14" customFormat="false" ht="19.5" hidden="false" customHeight="true" outlineLevel="0" collapsed="false">
      <c r="B14" s="30"/>
      <c r="C14" s="31"/>
      <c r="D14" s="34"/>
      <c r="E14" s="36"/>
      <c r="F14" s="32"/>
      <c r="G14" s="32" t="str">
        <f aca="false">IF(E14="","",E14*F14)</f>
        <v/>
      </c>
      <c r="H14" s="30"/>
      <c r="I14" s="31"/>
    </row>
    <row r="15" customFormat="false" ht="19.5" hidden="false" customHeight="true" outlineLevel="0" collapsed="false">
      <c r="B15" s="30"/>
      <c r="C15" s="31"/>
      <c r="D15" s="34"/>
      <c r="E15" s="36"/>
      <c r="F15" s="32"/>
      <c r="G15" s="32" t="str">
        <f aca="false">IF(E15="","",E15*F15)</f>
        <v/>
      </c>
      <c r="H15" s="30"/>
      <c r="I15" s="31"/>
    </row>
    <row r="16" customFormat="false" ht="19.5" hidden="false" customHeight="true" outlineLevel="0" collapsed="false">
      <c r="B16" s="30"/>
      <c r="C16" s="31"/>
      <c r="D16" s="34"/>
      <c r="E16" s="36"/>
      <c r="F16" s="32"/>
      <c r="G16" s="32" t="str">
        <f aca="false">IF(E16="","",E16*F16)</f>
        <v/>
      </c>
      <c r="H16" s="30"/>
      <c r="I16" s="31"/>
    </row>
    <row r="17" customFormat="false" ht="19.5" hidden="false" customHeight="true" outlineLevel="0" collapsed="false">
      <c r="B17" s="30"/>
      <c r="C17" s="31"/>
      <c r="D17" s="34"/>
      <c r="E17" s="36"/>
      <c r="F17" s="32"/>
      <c r="G17" s="32" t="str">
        <f aca="false">IF(E17="","",E17*F17)</f>
        <v/>
      </c>
      <c r="H17" s="30"/>
      <c r="I17" s="31"/>
    </row>
    <row r="18" customFormat="false" ht="19.5" hidden="false" customHeight="true" outlineLevel="0" collapsed="false">
      <c r="B18" s="30"/>
      <c r="C18" s="31"/>
      <c r="D18" s="34"/>
      <c r="E18" s="36"/>
      <c r="F18" s="32"/>
      <c r="G18" s="32" t="str">
        <f aca="false">IF(E18="","",E18*F18)</f>
        <v/>
      </c>
      <c r="H18" s="30"/>
      <c r="I18" s="31"/>
    </row>
    <row r="19" customFormat="false" ht="19.5" hidden="false" customHeight="true" outlineLevel="0" collapsed="false">
      <c r="B19" s="30"/>
      <c r="C19" s="31"/>
      <c r="D19" s="34"/>
      <c r="E19" s="36"/>
      <c r="F19" s="32"/>
      <c r="G19" s="32" t="str">
        <f aca="false">IF(E19="","",E19*F19)</f>
        <v/>
      </c>
      <c r="H19" s="30"/>
      <c r="I19" s="31"/>
    </row>
    <row r="20" customFormat="false" ht="19.5" hidden="false" customHeight="true" outlineLevel="0" collapsed="false">
      <c r="B20" s="30"/>
      <c r="C20" s="31"/>
      <c r="D20" s="34"/>
      <c r="E20" s="36"/>
      <c r="F20" s="32"/>
      <c r="G20" s="32" t="str">
        <f aca="false">IF(E20="","",E20*F20)</f>
        <v/>
      </c>
      <c r="H20" s="30"/>
      <c r="I20" s="31"/>
    </row>
    <row r="21" customFormat="false" ht="19.5" hidden="false" customHeight="true" outlineLevel="0" collapsed="false">
      <c r="B21" s="30"/>
      <c r="C21" s="31"/>
      <c r="D21" s="34"/>
      <c r="E21" s="36"/>
      <c r="F21" s="32"/>
      <c r="G21" s="32" t="str">
        <f aca="false">IF(E21="","",E21*F21)</f>
        <v/>
      </c>
      <c r="H21" s="30"/>
      <c r="I21" s="31"/>
    </row>
    <row r="22" customFormat="false" ht="19.5" hidden="false" customHeight="true" outlineLevel="0" collapsed="false">
      <c r="B22" s="30"/>
      <c r="C22" s="31"/>
      <c r="D22" s="34"/>
      <c r="E22" s="36"/>
      <c r="F22" s="32"/>
      <c r="G22" s="32" t="str">
        <f aca="false">IF(E22="","",E22*F22)</f>
        <v/>
      </c>
      <c r="H22" s="30"/>
      <c r="I22" s="31"/>
    </row>
    <row r="23" customFormat="false" ht="19.5" hidden="false" customHeight="true" outlineLevel="0" collapsed="false">
      <c r="B23" s="30"/>
      <c r="C23" s="31"/>
      <c r="D23" s="34"/>
      <c r="E23" s="36"/>
      <c r="F23" s="32"/>
      <c r="G23" s="32" t="str">
        <f aca="false">IF(E23="","",E23*F23)</f>
        <v/>
      </c>
      <c r="H23" s="30"/>
      <c r="I23" s="31"/>
    </row>
    <row r="24" customFormat="false" ht="19.5" hidden="false" customHeight="true" outlineLevel="0" collapsed="false">
      <c r="B24" s="30"/>
      <c r="C24" s="31"/>
      <c r="D24" s="34"/>
      <c r="E24" s="36"/>
      <c r="F24" s="32"/>
      <c r="G24" s="32" t="str">
        <f aca="false">IF(E24="","",E24*F24)</f>
        <v/>
      </c>
      <c r="H24" s="30"/>
      <c r="I24" s="31"/>
    </row>
    <row r="25" customFormat="false" ht="19.5" hidden="false" customHeight="true" outlineLevel="0" collapsed="false">
      <c r="B25" s="30"/>
      <c r="C25" s="31"/>
      <c r="D25" s="34"/>
      <c r="E25" s="36"/>
      <c r="F25" s="32"/>
      <c r="G25" s="32" t="str">
        <f aca="false">IF(E25="","",E25*F25)</f>
        <v/>
      </c>
      <c r="H25" s="30"/>
      <c r="I25" s="31"/>
    </row>
    <row r="26" customFormat="false" ht="19.5" hidden="false" customHeight="true" outlineLevel="0" collapsed="false">
      <c r="B26" s="30"/>
      <c r="C26" s="31"/>
      <c r="D26" s="34"/>
      <c r="E26" s="36"/>
      <c r="F26" s="32"/>
      <c r="G26" s="32" t="str">
        <f aca="false">IF(E26="","",E26*F26)</f>
        <v/>
      </c>
      <c r="H26" s="30"/>
      <c r="I26" s="31"/>
    </row>
    <row r="27" customFormat="false" ht="19.5" hidden="false" customHeight="true" outlineLevel="0" collapsed="false">
      <c r="B27" s="30"/>
      <c r="C27" s="31"/>
      <c r="D27" s="34"/>
      <c r="E27" s="36"/>
      <c r="F27" s="32"/>
      <c r="G27" s="32" t="str">
        <f aca="false">IF(E27="","",E27*F27)</f>
        <v/>
      </c>
      <c r="H27" s="30"/>
      <c r="I27" s="31"/>
    </row>
    <row r="28" customFormat="false" ht="19.5" hidden="false" customHeight="true" outlineLevel="0" collapsed="false">
      <c r="B28" s="30"/>
      <c r="C28" s="31"/>
      <c r="D28" s="34"/>
      <c r="E28" s="36"/>
      <c r="F28" s="32"/>
      <c r="G28" s="32" t="str">
        <f aca="false">IF(E28="","",E28*F28)</f>
        <v/>
      </c>
      <c r="H28" s="30"/>
      <c r="I28" s="31"/>
    </row>
    <row r="29" customFormat="false" ht="19.5" hidden="false" customHeight="true" outlineLevel="0" collapsed="false">
      <c r="B29" s="30"/>
      <c r="C29" s="31"/>
      <c r="D29" s="34"/>
      <c r="E29" s="36"/>
      <c r="F29" s="32"/>
      <c r="G29" s="32" t="str">
        <f aca="false">IF(E29="","",E29*F29)</f>
        <v/>
      </c>
      <c r="H29" s="30"/>
      <c r="I29" s="31"/>
    </row>
    <row r="31" customFormat="false" ht="15" hidden="false" customHeight="false" outlineLevel="0" collapsed="false">
      <c r="B31" s="16" t="s">
        <v>184</v>
      </c>
    </row>
    <row r="32" customFormat="false" ht="15" hidden="false" customHeight="false" outlineLevel="0" collapsed="false">
      <c r="B32" s="17" t="n">
        <f aca="false">SUM(G6:G29)</f>
        <v>0</v>
      </c>
      <c r="C32" s="17"/>
      <c r="D32" s="17"/>
    </row>
    <row r="33" customFormat="false" ht="15" hidden="false" customHeight="false" outlineLevel="0" collapsed="false">
      <c r="B33" s="17"/>
      <c r="C33" s="17"/>
      <c r="D33" s="17"/>
    </row>
    <row r="34" customFormat="false" ht="15" hidden="false" customHeight="false" outlineLevel="0" collapsed="false">
      <c r="B34" s="21" t="s">
        <v>185</v>
      </c>
      <c r="C34" s="21"/>
      <c r="D34" s="21"/>
    </row>
  </sheetData>
  <autoFilter ref="B5:I29"/>
  <mergeCells count="2">
    <mergeCell ref="B32:D33"/>
    <mergeCell ref="B34:D34"/>
  </mergeCells>
  <dataValidations count="1">
    <dataValidation allowBlank="true" error="Please choose a value from the list." errorStyle="stop" errorTitle="Invalid entry" operator="between" showDropDown="false" showErrorMessage="false" showInputMessage="false" sqref="D6:D29" type="list">
      <formula1>Lists!$O$2:$O$7</formula1>
      <formula2>0</formula2>
    </dataValidation>
  </dataValidations>
  <hyperlinks>
    <hyperlink ref="B1" r:id="rId1" location="'Dashboard'!A1" display="‹ Dashboard"/>
    <hyperlink ref="C1" r:id="rId2" location="'START%20HERE'!A1" display="‹ Start Here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tableParts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tru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7.5" hidden="false" customHeight="true" outlineLevel="0" collapsed="false">
      <c r="A1" s="9"/>
      <c r="B1" s="10" t="s">
        <v>66</v>
      </c>
      <c r="C1" s="10" t="s">
        <v>42</v>
      </c>
      <c r="D1" s="9"/>
      <c r="E1" s="9"/>
      <c r="F1" s="9"/>
      <c r="G1" s="9"/>
      <c r="H1" s="9"/>
      <c r="I1" s="9"/>
    </row>
    <row r="2" customFormat="false" ht="30" hidden="false" customHeight="true" outlineLevel="0" collapsed="false">
      <c r="A2" s="9"/>
      <c r="B2" s="27" t="s">
        <v>60</v>
      </c>
      <c r="C2" s="9"/>
      <c r="D2" s="9"/>
      <c r="E2" s="9"/>
      <c r="F2" s="9"/>
      <c r="G2" s="9"/>
      <c r="H2" s="9"/>
      <c r="I2" s="9"/>
    </row>
    <row r="3" customFormat="false" ht="19.5" hidden="false" customHeight="true" outlineLevel="0" collapsed="false">
      <c r="A3" s="15"/>
      <c r="B3" s="28" t="s">
        <v>186</v>
      </c>
      <c r="C3" s="15"/>
      <c r="D3" s="15"/>
      <c r="E3" s="15"/>
      <c r="F3" s="15"/>
      <c r="G3" s="15"/>
      <c r="H3" s="15"/>
      <c r="I3" s="15"/>
    </row>
    <row r="5" customFormat="false" ht="15" hidden="false" customHeight="false" outlineLevel="0" collapsed="false">
      <c r="B5" s="29" t="s">
        <v>69</v>
      </c>
      <c r="C5" s="29" t="s">
        <v>73</v>
      </c>
      <c r="D5" s="29" t="s">
        <v>74</v>
      </c>
      <c r="E5" s="29" t="s">
        <v>75</v>
      </c>
      <c r="F5" s="29" t="s">
        <v>77</v>
      </c>
      <c r="G5" s="29" t="s">
        <v>96</v>
      </c>
      <c r="H5" s="29" t="s">
        <v>79</v>
      </c>
      <c r="I5" s="29" t="s">
        <v>81</v>
      </c>
    </row>
    <row r="6" customFormat="false" ht="19.5" hidden="false" customHeight="true" outlineLevel="0" collapsed="false">
      <c r="B6" s="30"/>
      <c r="C6" s="32"/>
      <c r="D6" s="32"/>
      <c r="E6" s="32" t="str">
        <f aca="false">IF(C6="","",C6-D6)</f>
        <v/>
      </c>
      <c r="F6" s="32"/>
      <c r="G6" s="32" t="str">
        <f aca="false">IF(D6="","",D6-F6)</f>
        <v/>
      </c>
      <c r="H6" s="33"/>
      <c r="I6" s="31"/>
    </row>
    <row r="7" customFormat="false" ht="19.5" hidden="false" customHeight="true" outlineLevel="0" collapsed="false">
      <c r="B7" s="30"/>
      <c r="C7" s="32"/>
      <c r="D7" s="32"/>
      <c r="E7" s="32" t="str">
        <f aca="false">IF(C7="","",C7-D7)</f>
        <v/>
      </c>
      <c r="F7" s="32"/>
      <c r="G7" s="32" t="str">
        <f aca="false">IF(D7="","",D7-F7)</f>
        <v/>
      </c>
      <c r="H7" s="33"/>
      <c r="I7" s="31"/>
    </row>
    <row r="8" customFormat="false" ht="19.5" hidden="false" customHeight="true" outlineLevel="0" collapsed="false">
      <c r="B8" s="30"/>
      <c r="C8" s="32"/>
      <c r="D8" s="32"/>
      <c r="E8" s="32" t="str">
        <f aca="false">IF(C8="","",C8-D8)</f>
        <v/>
      </c>
      <c r="F8" s="32"/>
      <c r="G8" s="32" t="str">
        <f aca="false">IF(D8="","",D8-F8)</f>
        <v/>
      </c>
      <c r="H8" s="33"/>
      <c r="I8" s="31"/>
    </row>
    <row r="9" customFormat="false" ht="19.5" hidden="false" customHeight="true" outlineLevel="0" collapsed="false">
      <c r="B9" s="30"/>
      <c r="C9" s="32"/>
      <c r="D9" s="32"/>
      <c r="E9" s="32" t="str">
        <f aca="false">IF(C9="","",C9-D9)</f>
        <v/>
      </c>
      <c r="F9" s="32"/>
      <c r="G9" s="32" t="str">
        <f aca="false">IF(D9="","",D9-F9)</f>
        <v/>
      </c>
      <c r="H9" s="33"/>
      <c r="I9" s="31"/>
    </row>
    <row r="10" customFormat="false" ht="19.5" hidden="false" customHeight="true" outlineLevel="0" collapsed="false">
      <c r="B10" s="30"/>
      <c r="C10" s="32"/>
      <c r="D10" s="32"/>
      <c r="E10" s="32" t="str">
        <f aca="false">IF(C10="","",C10-D10)</f>
        <v/>
      </c>
      <c r="F10" s="32"/>
      <c r="G10" s="32" t="str">
        <f aca="false">IF(D10="","",D10-F10)</f>
        <v/>
      </c>
      <c r="H10" s="33"/>
      <c r="I10" s="31"/>
    </row>
    <row r="11" customFormat="false" ht="19.5" hidden="false" customHeight="true" outlineLevel="0" collapsed="false">
      <c r="B11" s="30"/>
      <c r="C11" s="32"/>
      <c r="D11" s="32"/>
      <c r="E11" s="32" t="str">
        <f aca="false">IF(C11="","",C11-D11)</f>
        <v/>
      </c>
      <c r="F11" s="32"/>
      <c r="G11" s="32" t="str">
        <f aca="false">IF(D11="","",D11-F11)</f>
        <v/>
      </c>
      <c r="H11" s="33"/>
      <c r="I11" s="31"/>
    </row>
    <row r="12" customFormat="false" ht="19.5" hidden="false" customHeight="true" outlineLevel="0" collapsed="false">
      <c r="B12" s="30"/>
      <c r="C12" s="32"/>
      <c r="D12" s="32"/>
      <c r="E12" s="32" t="str">
        <f aca="false">IF(C12="","",C12-D12)</f>
        <v/>
      </c>
      <c r="F12" s="32"/>
      <c r="G12" s="32" t="str">
        <f aca="false">IF(D12="","",D12-F12)</f>
        <v/>
      </c>
      <c r="H12" s="33"/>
      <c r="I12" s="31"/>
    </row>
    <row r="13" customFormat="false" ht="19.5" hidden="false" customHeight="true" outlineLevel="0" collapsed="false">
      <c r="B13" s="30"/>
      <c r="C13" s="32"/>
      <c r="D13" s="32"/>
      <c r="E13" s="32" t="str">
        <f aca="false">IF(C13="","",C13-D13)</f>
        <v/>
      </c>
      <c r="F13" s="32"/>
      <c r="G13" s="32" t="str">
        <f aca="false">IF(D13="","",D13-F13)</f>
        <v/>
      </c>
      <c r="H13" s="33"/>
      <c r="I13" s="31"/>
    </row>
    <row r="14" customFormat="false" ht="19.5" hidden="false" customHeight="true" outlineLevel="0" collapsed="false">
      <c r="B14" s="30"/>
      <c r="C14" s="32"/>
      <c r="D14" s="32"/>
      <c r="E14" s="32" t="str">
        <f aca="false">IF(C14="","",C14-D14)</f>
        <v/>
      </c>
      <c r="F14" s="32"/>
      <c r="G14" s="32" t="str">
        <f aca="false">IF(D14="","",D14-F14)</f>
        <v/>
      </c>
      <c r="H14" s="33"/>
      <c r="I14" s="31"/>
    </row>
    <row r="15" customFormat="false" ht="19.5" hidden="false" customHeight="true" outlineLevel="0" collapsed="false">
      <c r="B15" s="30"/>
      <c r="C15" s="32"/>
      <c r="D15" s="32"/>
      <c r="E15" s="32" t="str">
        <f aca="false">IF(C15="","",C15-D15)</f>
        <v/>
      </c>
      <c r="F15" s="32"/>
      <c r="G15" s="32" t="str">
        <f aca="false">IF(D15="","",D15-F15)</f>
        <v/>
      </c>
      <c r="H15" s="33"/>
      <c r="I15" s="31"/>
    </row>
    <row r="17" customFormat="false" ht="15" hidden="false" customHeight="false" outlineLevel="0" collapsed="false">
      <c r="B17" s="16" t="s">
        <v>187</v>
      </c>
    </row>
    <row r="18" customFormat="false" ht="15" hidden="false" customHeight="false" outlineLevel="0" collapsed="false">
      <c r="B18" s="17" t="n">
        <f aca="false">SUM(C6:C15)</f>
        <v>0</v>
      </c>
      <c r="C18" s="17"/>
      <c r="D18" s="17"/>
      <c r="E18" s="17" t="n">
        <f aca="false">SUM(D6:D15)</f>
        <v>0</v>
      </c>
      <c r="F18" s="17"/>
      <c r="G18" s="17"/>
      <c r="H18" s="17" t="n">
        <f aca="false">SUM(G6:G15)</f>
        <v>0</v>
      </c>
      <c r="I18" s="17"/>
      <c r="J18" s="17"/>
    </row>
    <row r="19" customFormat="false" ht="15" hidden="false" customHeight="false" outlineLevel="0" collapsed="false">
      <c r="B19" s="17"/>
      <c r="C19" s="17"/>
      <c r="D19" s="17"/>
      <c r="E19" s="17"/>
      <c r="F19" s="17"/>
      <c r="G19" s="17"/>
      <c r="H19" s="17"/>
      <c r="I19" s="17"/>
      <c r="J19" s="17"/>
    </row>
    <row r="20" customFormat="false" ht="15" hidden="false" customHeight="false" outlineLevel="0" collapsed="false">
      <c r="B20" s="21" t="s">
        <v>188</v>
      </c>
      <c r="C20" s="21"/>
      <c r="D20" s="21"/>
      <c r="E20" s="21" t="s">
        <v>189</v>
      </c>
      <c r="F20" s="21"/>
      <c r="G20" s="21"/>
      <c r="H20" s="21" t="s">
        <v>149</v>
      </c>
      <c r="I20" s="21"/>
      <c r="J20" s="21"/>
    </row>
  </sheetData>
  <autoFilter ref="B5:I15"/>
  <mergeCells count="6">
    <mergeCell ref="B18:D19"/>
    <mergeCell ref="E18:G19"/>
    <mergeCell ref="H18:J19"/>
    <mergeCell ref="B20:D20"/>
    <mergeCell ref="E20:G20"/>
    <mergeCell ref="H20:J20"/>
  </mergeCells>
  <dataValidations count="1">
    <dataValidation allowBlank="true" error="Please choose a value from the list." errorStyle="stop" errorTitle="Invalid entry" operator="between" showDropDown="false" showErrorMessage="false" showInputMessage="false" sqref="B6:B15" type="list">
      <formula1>Lists!$P$2:$P$9</formula1>
      <formula2>0</formula2>
    </dataValidation>
  </dataValidations>
  <hyperlinks>
    <hyperlink ref="B1" r:id="rId1" location="'Dashboard'!A1" display="‹ Dashboard"/>
    <hyperlink ref="C1" r:id="rId2" location="'START%20HERE'!A1" display="‹ Start Here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tableParts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tru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26"/>
    <col collapsed="false" customWidth="true" hidden="false" outlineLevel="0" max="10" min="10" style="0" width="20"/>
  </cols>
  <sheetData>
    <row r="1" customFormat="false" ht="7.5" hidden="false" customHeight="true" outlineLevel="0" collapsed="false">
      <c r="A1" s="9"/>
      <c r="B1" s="10" t="s">
        <v>66</v>
      </c>
      <c r="C1" s="10" t="s">
        <v>42</v>
      </c>
      <c r="D1" s="9"/>
      <c r="E1" s="9"/>
      <c r="F1" s="9"/>
      <c r="G1" s="9"/>
      <c r="H1" s="9"/>
      <c r="I1" s="9"/>
      <c r="J1" s="9"/>
    </row>
    <row r="2" customFormat="false" ht="30" hidden="false" customHeight="true" outlineLevel="0" collapsed="false">
      <c r="A2" s="9"/>
      <c r="B2" s="27" t="s">
        <v>190</v>
      </c>
      <c r="C2" s="9"/>
      <c r="D2" s="9"/>
      <c r="E2" s="9"/>
      <c r="F2" s="9"/>
      <c r="G2" s="9"/>
      <c r="H2" s="9"/>
      <c r="I2" s="9"/>
      <c r="J2" s="9"/>
    </row>
    <row r="3" customFormat="false" ht="19.5" hidden="false" customHeight="true" outlineLevel="0" collapsed="false">
      <c r="A3" s="15"/>
      <c r="B3" s="28" t="s">
        <v>191</v>
      </c>
      <c r="C3" s="15"/>
      <c r="D3" s="15"/>
      <c r="E3" s="15"/>
      <c r="F3" s="15"/>
      <c r="G3" s="15"/>
      <c r="H3" s="15"/>
      <c r="I3" s="15"/>
      <c r="J3" s="15"/>
    </row>
    <row r="5" customFormat="false" ht="15" hidden="false" customHeight="false" outlineLevel="0" collapsed="false">
      <c r="B5" s="29" t="s">
        <v>162</v>
      </c>
      <c r="C5" s="29" t="s">
        <v>192</v>
      </c>
      <c r="D5" s="29" t="s">
        <v>69</v>
      </c>
      <c r="E5" s="29" t="s">
        <v>163</v>
      </c>
      <c r="F5" s="29" t="s">
        <v>91</v>
      </c>
      <c r="G5" s="29" t="s">
        <v>92</v>
      </c>
      <c r="H5" s="29" t="s">
        <v>93</v>
      </c>
      <c r="I5" s="29" t="s">
        <v>193</v>
      </c>
      <c r="J5" s="29" t="s">
        <v>81</v>
      </c>
    </row>
    <row r="6" customFormat="false" ht="19.5" hidden="false" customHeight="true" outlineLevel="0" collapsed="false">
      <c r="B6" s="30"/>
      <c r="C6" s="30"/>
      <c r="D6" s="30"/>
      <c r="E6" s="30"/>
      <c r="F6" s="30"/>
      <c r="G6" s="30"/>
      <c r="H6" s="30"/>
      <c r="I6" s="31"/>
      <c r="J6" s="31"/>
    </row>
    <row r="7" customFormat="false" ht="19.5" hidden="false" customHeight="true" outlineLevel="0" collapsed="false">
      <c r="B7" s="30"/>
      <c r="C7" s="30"/>
      <c r="D7" s="30"/>
      <c r="E7" s="30"/>
      <c r="F7" s="30"/>
      <c r="G7" s="30"/>
      <c r="H7" s="30"/>
      <c r="I7" s="31"/>
      <c r="J7" s="31"/>
    </row>
    <row r="8" customFormat="false" ht="19.5" hidden="false" customHeight="true" outlineLevel="0" collapsed="false">
      <c r="B8" s="30"/>
      <c r="C8" s="30"/>
      <c r="D8" s="30"/>
      <c r="E8" s="30"/>
      <c r="F8" s="30"/>
      <c r="G8" s="30"/>
      <c r="H8" s="30"/>
      <c r="I8" s="31"/>
      <c r="J8" s="31"/>
    </row>
    <row r="9" customFormat="false" ht="19.5" hidden="false" customHeight="true" outlineLevel="0" collapsed="false">
      <c r="B9" s="30"/>
      <c r="C9" s="30"/>
      <c r="D9" s="30"/>
      <c r="E9" s="30"/>
      <c r="F9" s="30"/>
      <c r="G9" s="30"/>
      <c r="H9" s="30"/>
      <c r="I9" s="31"/>
      <c r="J9" s="31"/>
    </row>
    <row r="10" customFormat="false" ht="19.5" hidden="false" customHeight="true" outlineLevel="0" collapsed="false">
      <c r="B10" s="30"/>
      <c r="C10" s="30"/>
      <c r="D10" s="30"/>
      <c r="E10" s="30"/>
      <c r="F10" s="30"/>
      <c r="G10" s="30"/>
      <c r="H10" s="30"/>
      <c r="I10" s="31"/>
      <c r="J10" s="31"/>
    </row>
    <row r="11" customFormat="false" ht="19.5" hidden="false" customHeight="true" outlineLevel="0" collapsed="false">
      <c r="B11" s="30"/>
      <c r="C11" s="30"/>
      <c r="D11" s="30"/>
      <c r="E11" s="30"/>
      <c r="F11" s="30"/>
      <c r="G11" s="30"/>
      <c r="H11" s="30"/>
      <c r="I11" s="31"/>
      <c r="J11" s="31"/>
    </row>
    <row r="12" customFormat="false" ht="19.5" hidden="false" customHeight="true" outlineLevel="0" collapsed="false">
      <c r="B12" s="30"/>
      <c r="C12" s="30"/>
      <c r="D12" s="30"/>
      <c r="E12" s="30"/>
      <c r="F12" s="30"/>
      <c r="G12" s="30"/>
      <c r="H12" s="30"/>
      <c r="I12" s="31"/>
      <c r="J12" s="31"/>
    </row>
    <row r="13" customFormat="false" ht="19.5" hidden="false" customHeight="true" outlineLevel="0" collapsed="false">
      <c r="B13" s="30"/>
      <c r="C13" s="30"/>
      <c r="D13" s="30"/>
      <c r="E13" s="30"/>
      <c r="F13" s="30"/>
      <c r="G13" s="30"/>
      <c r="H13" s="30"/>
      <c r="I13" s="31"/>
      <c r="J13" s="31"/>
    </row>
    <row r="14" customFormat="false" ht="19.5" hidden="false" customHeight="true" outlineLevel="0" collapsed="false">
      <c r="B14" s="30"/>
      <c r="C14" s="30"/>
      <c r="D14" s="30"/>
      <c r="E14" s="30"/>
      <c r="F14" s="30"/>
      <c r="G14" s="30"/>
      <c r="H14" s="30"/>
      <c r="I14" s="31"/>
      <c r="J14" s="31"/>
    </row>
    <row r="15" customFormat="false" ht="19.5" hidden="false" customHeight="true" outlineLevel="0" collapsed="false">
      <c r="B15" s="30"/>
      <c r="C15" s="30"/>
      <c r="D15" s="30"/>
      <c r="E15" s="30"/>
      <c r="F15" s="30"/>
      <c r="G15" s="30"/>
      <c r="H15" s="30"/>
      <c r="I15" s="31"/>
      <c r="J15" s="31"/>
    </row>
    <row r="16" customFormat="false" ht="19.5" hidden="false" customHeight="true" outlineLevel="0" collapsed="false">
      <c r="B16" s="30"/>
      <c r="C16" s="30"/>
      <c r="D16" s="30"/>
      <c r="E16" s="30"/>
      <c r="F16" s="30"/>
      <c r="G16" s="30"/>
      <c r="H16" s="30"/>
      <c r="I16" s="31"/>
      <c r="J16" s="31"/>
    </row>
    <row r="17" customFormat="false" ht="19.5" hidden="false" customHeight="true" outlineLevel="0" collapsed="false">
      <c r="B17" s="30"/>
      <c r="C17" s="30"/>
      <c r="D17" s="30"/>
      <c r="E17" s="30"/>
      <c r="F17" s="30"/>
      <c r="G17" s="30"/>
      <c r="H17" s="30"/>
      <c r="I17" s="31"/>
      <c r="J17" s="31"/>
    </row>
    <row r="18" customFormat="false" ht="19.5" hidden="false" customHeight="true" outlineLevel="0" collapsed="false">
      <c r="B18" s="30"/>
      <c r="C18" s="30"/>
      <c r="D18" s="30"/>
      <c r="E18" s="30"/>
      <c r="F18" s="30"/>
      <c r="G18" s="30"/>
      <c r="H18" s="30"/>
      <c r="I18" s="31"/>
      <c r="J18" s="31"/>
    </row>
    <row r="19" customFormat="false" ht="19.5" hidden="false" customHeight="true" outlineLevel="0" collapsed="false">
      <c r="B19" s="30"/>
      <c r="C19" s="30"/>
      <c r="D19" s="30"/>
      <c r="E19" s="30"/>
      <c r="F19" s="30"/>
      <c r="G19" s="30"/>
      <c r="H19" s="30"/>
      <c r="I19" s="31"/>
      <c r="J19" s="31"/>
    </row>
    <row r="20" customFormat="false" ht="19.5" hidden="false" customHeight="true" outlineLevel="0" collapsed="false">
      <c r="B20" s="30"/>
      <c r="C20" s="30"/>
      <c r="D20" s="30"/>
      <c r="E20" s="30"/>
      <c r="F20" s="30"/>
      <c r="G20" s="30"/>
      <c r="H20" s="30"/>
      <c r="I20" s="31"/>
      <c r="J20" s="31"/>
    </row>
    <row r="21" customFormat="false" ht="19.5" hidden="false" customHeight="true" outlineLevel="0" collapsed="false">
      <c r="B21" s="30"/>
      <c r="C21" s="30"/>
      <c r="D21" s="30"/>
      <c r="E21" s="30"/>
      <c r="F21" s="30"/>
      <c r="G21" s="30"/>
      <c r="H21" s="30"/>
      <c r="I21" s="31"/>
      <c r="J21" s="31"/>
    </row>
    <row r="22" customFormat="false" ht="19.5" hidden="false" customHeight="true" outlineLevel="0" collapsed="false">
      <c r="B22" s="30"/>
      <c r="C22" s="30"/>
      <c r="D22" s="30"/>
      <c r="E22" s="30"/>
      <c r="F22" s="30"/>
      <c r="G22" s="30"/>
      <c r="H22" s="30"/>
      <c r="I22" s="31"/>
      <c r="J22" s="31"/>
    </row>
    <row r="23" customFormat="false" ht="19.5" hidden="false" customHeight="true" outlineLevel="0" collapsed="false">
      <c r="B23" s="30"/>
      <c r="C23" s="30"/>
      <c r="D23" s="30"/>
      <c r="E23" s="30"/>
      <c r="F23" s="30"/>
      <c r="G23" s="30"/>
      <c r="H23" s="30"/>
      <c r="I23" s="31"/>
      <c r="J23" s="31"/>
    </row>
    <row r="24" customFormat="false" ht="19.5" hidden="false" customHeight="true" outlineLevel="0" collapsed="false">
      <c r="B24" s="30"/>
      <c r="C24" s="30"/>
      <c r="D24" s="30"/>
      <c r="E24" s="30"/>
      <c r="F24" s="30"/>
      <c r="G24" s="30"/>
      <c r="H24" s="30"/>
      <c r="I24" s="31"/>
      <c r="J24" s="31"/>
    </row>
    <row r="25" customFormat="false" ht="19.5" hidden="false" customHeight="true" outlineLevel="0" collapsed="false">
      <c r="B25" s="30"/>
      <c r="C25" s="30"/>
      <c r="D25" s="30"/>
      <c r="E25" s="30"/>
      <c r="F25" s="30"/>
      <c r="G25" s="30"/>
      <c r="H25" s="30"/>
      <c r="I25" s="31"/>
      <c r="J25" s="31"/>
    </row>
  </sheetData>
  <autoFilter ref="B5:J25"/>
  <dataValidations count="1">
    <dataValidation allowBlank="true" error="Please choose a value from the list." errorStyle="stop" errorTitle="Invalid entry" operator="between" showDropDown="false" showErrorMessage="false" showInputMessage="false" sqref="D6:D25" type="list">
      <formula1>Lists!$F$2:$F$21</formula1>
      <formula2>0</formula2>
    </dataValidation>
  </dataValidations>
  <hyperlinks>
    <hyperlink ref="B1" r:id="rId1" location="'Dashboard'!A1" display="‹ Dashboard"/>
    <hyperlink ref="C1" r:id="rId2" location="'START%20HERE'!A1" display="‹ Start Here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tableParts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true"/>
  </sheetPr>
  <dimension ref="A1:M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20"/>
  </cols>
  <sheetData>
    <row r="1" customFormat="false" ht="7.5" hidden="false" customHeight="true" outlineLevel="0" collapsed="false">
      <c r="A1" s="9"/>
      <c r="B1" s="10" t="s">
        <v>66</v>
      </c>
      <c r="C1" s="10" t="s">
        <v>42</v>
      </c>
      <c r="D1" s="9"/>
      <c r="E1" s="9"/>
      <c r="F1" s="9"/>
      <c r="G1" s="9"/>
      <c r="H1" s="9"/>
    </row>
    <row r="2" customFormat="false" ht="30" hidden="false" customHeight="true" outlineLevel="0" collapsed="false">
      <c r="A2" s="9"/>
      <c r="B2" s="27" t="s">
        <v>194</v>
      </c>
      <c r="C2" s="9"/>
      <c r="D2" s="9"/>
      <c r="E2" s="9"/>
      <c r="F2" s="9"/>
      <c r="G2" s="9"/>
      <c r="H2" s="9"/>
    </row>
    <row r="3" customFormat="false" ht="19.5" hidden="false" customHeight="true" outlineLevel="0" collapsed="false">
      <c r="A3" s="15"/>
      <c r="B3" s="28" t="s">
        <v>195</v>
      </c>
      <c r="C3" s="15"/>
      <c r="D3" s="15"/>
      <c r="E3" s="15"/>
      <c r="F3" s="15"/>
      <c r="G3" s="15"/>
      <c r="H3" s="15"/>
    </row>
    <row r="5" customFormat="false" ht="15" hidden="false" customHeight="false" outlineLevel="0" collapsed="false">
      <c r="B5" s="29" t="s">
        <v>105</v>
      </c>
      <c r="C5" s="29" t="s">
        <v>196</v>
      </c>
      <c r="D5" s="29" t="s">
        <v>197</v>
      </c>
      <c r="E5" s="29" t="s">
        <v>198</v>
      </c>
      <c r="F5" s="29" t="s">
        <v>199</v>
      </c>
      <c r="G5" s="29" t="s">
        <v>200</v>
      </c>
      <c r="H5" s="29" t="s">
        <v>81</v>
      </c>
    </row>
    <row r="6" customFormat="false" ht="19.5" hidden="false" customHeight="true" outlineLevel="0" collapsed="false">
      <c r="B6" s="30"/>
      <c r="C6" s="31"/>
      <c r="D6" s="34"/>
      <c r="E6" s="32"/>
      <c r="F6" s="34"/>
      <c r="G6" s="33"/>
      <c r="H6" s="31"/>
    </row>
    <row r="7" customFormat="false" ht="19.5" hidden="false" customHeight="true" outlineLevel="0" collapsed="false">
      <c r="B7" s="30"/>
      <c r="C7" s="31"/>
      <c r="D7" s="34"/>
      <c r="E7" s="32"/>
      <c r="F7" s="34"/>
      <c r="G7" s="33"/>
      <c r="H7" s="31"/>
    </row>
    <row r="8" customFormat="false" ht="19.5" hidden="false" customHeight="true" outlineLevel="0" collapsed="false">
      <c r="B8" s="30"/>
      <c r="C8" s="31"/>
      <c r="D8" s="34"/>
      <c r="E8" s="32"/>
      <c r="F8" s="34"/>
      <c r="G8" s="33"/>
      <c r="H8" s="31"/>
    </row>
    <row r="9" customFormat="false" ht="19.5" hidden="false" customHeight="true" outlineLevel="0" collapsed="false">
      <c r="B9" s="30"/>
      <c r="C9" s="31"/>
      <c r="D9" s="34"/>
      <c r="E9" s="32"/>
      <c r="F9" s="34"/>
      <c r="G9" s="33"/>
      <c r="H9" s="31"/>
    </row>
    <row r="10" customFormat="false" ht="19.5" hidden="false" customHeight="true" outlineLevel="0" collapsed="false">
      <c r="B10" s="30"/>
      <c r="C10" s="31"/>
      <c r="D10" s="34"/>
      <c r="E10" s="32"/>
      <c r="F10" s="34"/>
      <c r="G10" s="33"/>
      <c r="H10" s="31"/>
    </row>
    <row r="11" customFormat="false" ht="19.5" hidden="false" customHeight="true" outlineLevel="0" collapsed="false">
      <c r="B11" s="30"/>
      <c r="C11" s="31"/>
      <c r="D11" s="34"/>
      <c r="E11" s="32"/>
      <c r="F11" s="34"/>
      <c r="G11" s="33"/>
      <c r="H11" s="31"/>
    </row>
    <row r="12" customFormat="false" ht="19.5" hidden="false" customHeight="true" outlineLevel="0" collapsed="false">
      <c r="B12" s="30"/>
      <c r="C12" s="31"/>
      <c r="D12" s="34"/>
      <c r="E12" s="32"/>
      <c r="F12" s="34"/>
      <c r="G12" s="33"/>
      <c r="H12" s="31"/>
    </row>
    <row r="13" customFormat="false" ht="19.5" hidden="false" customHeight="true" outlineLevel="0" collapsed="false">
      <c r="B13" s="30"/>
      <c r="C13" s="31"/>
      <c r="D13" s="34"/>
      <c r="E13" s="32"/>
      <c r="F13" s="34"/>
      <c r="G13" s="33"/>
      <c r="H13" s="31"/>
    </row>
    <row r="14" customFormat="false" ht="19.5" hidden="false" customHeight="true" outlineLevel="0" collapsed="false">
      <c r="B14" s="30"/>
      <c r="C14" s="31"/>
      <c r="D14" s="34"/>
      <c r="E14" s="32"/>
      <c r="F14" s="34"/>
      <c r="G14" s="33"/>
      <c r="H14" s="31"/>
    </row>
    <row r="15" customFormat="false" ht="19.5" hidden="false" customHeight="true" outlineLevel="0" collapsed="false">
      <c r="B15" s="30"/>
      <c r="C15" s="31"/>
      <c r="D15" s="34"/>
      <c r="E15" s="32"/>
      <c r="F15" s="34"/>
      <c r="G15" s="33"/>
      <c r="H15" s="31"/>
    </row>
    <row r="16" customFormat="false" ht="19.5" hidden="false" customHeight="true" outlineLevel="0" collapsed="false">
      <c r="B16" s="30"/>
      <c r="C16" s="31"/>
      <c r="D16" s="34"/>
      <c r="E16" s="32"/>
      <c r="F16" s="34"/>
      <c r="G16" s="33"/>
      <c r="H16" s="31"/>
    </row>
    <row r="17" customFormat="false" ht="19.5" hidden="false" customHeight="true" outlineLevel="0" collapsed="false">
      <c r="B17" s="30"/>
      <c r="C17" s="31"/>
      <c r="D17" s="34"/>
      <c r="E17" s="32"/>
      <c r="F17" s="34"/>
      <c r="G17" s="33"/>
      <c r="H17" s="31"/>
    </row>
    <row r="18" customFormat="false" ht="19.5" hidden="false" customHeight="true" outlineLevel="0" collapsed="false">
      <c r="B18" s="30"/>
      <c r="C18" s="31"/>
      <c r="D18" s="34"/>
      <c r="E18" s="32"/>
      <c r="F18" s="34"/>
      <c r="G18" s="33"/>
      <c r="H18" s="31"/>
    </row>
    <row r="19" customFormat="false" ht="19.5" hidden="false" customHeight="true" outlineLevel="0" collapsed="false">
      <c r="B19" s="30"/>
      <c r="C19" s="31"/>
      <c r="D19" s="34"/>
      <c r="E19" s="32"/>
      <c r="F19" s="34"/>
      <c r="G19" s="33"/>
      <c r="H19" s="31"/>
    </row>
    <row r="20" customFormat="false" ht="19.5" hidden="false" customHeight="true" outlineLevel="0" collapsed="false">
      <c r="B20" s="30"/>
      <c r="C20" s="31"/>
      <c r="D20" s="34"/>
      <c r="E20" s="32"/>
      <c r="F20" s="34"/>
      <c r="G20" s="33"/>
      <c r="H20" s="31"/>
    </row>
    <row r="21" customFormat="false" ht="19.5" hidden="false" customHeight="true" outlineLevel="0" collapsed="false">
      <c r="B21" s="30"/>
      <c r="C21" s="31"/>
      <c r="D21" s="34"/>
      <c r="E21" s="32"/>
      <c r="F21" s="34"/>
      <c r="G21" s="33"/>
      <c r="H21" s="31"/>
    </row>
    <row r="22" customFormat="false" ht="19.5" hidden="false" customHeight="true" outlineLevel="0" collapsed="false">
      <c r="B22" s="30"/>
      <c r="C22" s="31"/>
      <c r="D22" s="34"/>
      <c r="E22" s="32"/>
      <c r="F22" s="34"/>
      <c r="G22" s="33"/>
      <c r="H22" s="31"/>
    </row>
    <row r="23" customFormat="false" ht="19.5" hidden="false" customHeight="true" outlineLevel="0" collapsed="false">
      <c r="B23" s="30"/>
      <c r="C23" s="31"/>
      <c r="D23" s="34"/>
      <c r="E23" s="32"/>
      <c r="F23" s="34"/>
      <c r="G23" s="33"/>
      <c r="H23" s="31"/>
    </row>
    <row r="24" customFormat="false" ht="19.5" hidden="false" customHeight="true" outlineLevel="0" collapsed="false">
      <c r="B24" s="30"/>
      <c r="C24" s="31"/>
      <c r="D24" s="34"/>
      <c r="E24" s="32"/>
      <c r="F24" s="34"/>
      <c r="G24" s="33"/>
      <c r="H24" s="31"/>
    </row>
    <row r="25" customFormat="false" ht="19.5" hidden="false" customHeight="true" outlineLevel="0" collapsed="false">
      <c r="B25" s="30"/>
      <c r="C25" s="31"/>
      <c r="D25" s="34"/>
      <c r="E25" s="32"/>
      <c r="F25" s="34"/>
      <c r="G25" s="33"/>
      <c r="H25" s="31"/>
    </row>
    <row r="26" customFormat="false" ht="19.5" hidden="false" customHeight="true" outlineLevel="0" collapsed="false">
      <c r="B26" s="30"/>
      <c r="C26" s="31"/>
      <c r="D26" s="34"/>
      <c r="E26" s="32"/>
      <c r="F26" s="34"/>
      <c r="G26" s="33"/>
      <c r="H26" s="31"/>
    </row>
    <row r="27" customFormat="false" ht="19.5" hidden="false" customHeight="true" outlineLevel="0" collapsed="false">
      <c r="B27" s="30"/>
      <c r="C27" s="31"/>
      <c r="D27" s="34"/>
      <c r="E27" s="32"/>
      <c r="F27" s="34"/>
      <c r="G27" s="33"/>
      <c r="H27" s="31"/>
    </row>
    <row r="28" customFormat="false" ht="19.5" hidden="false" customHeight="true" outlineLevel="0" collapsed="false">
      <c r="B28" s="30"/>
      <c r="C28" s="31"/>
      <c r="D28" s="34"/>
      <c r="E28" s="32"/>
      <c r="F28" s="34"/>
      <c r="G28" s="33"/>
      <c r="H28" s="31"/>
    </row>
    <row r="29" customFormat="false" ht="19.5" hidden="false" customHeight="true" outlineLevel="0" collapsed="false">
      <c r="B29" s="30"/>
      <c r="C29" s="31"/>
      <c r="D29" s="34"/>
      <c r="E29" s="32"/>
      <c r="F29" s="34"/>
      <c r="G29" s="33"/>
      <c r="H29" s="31"/>
    </row>
    <row r="30" customFormat="false" ht="19.5" hidden="false" customHeight="true" outlineLevel="0" collapsed="false">
      <c r="B30" s="30"/>
      <c r="C30" s="31"/>
      <c r="D30" s="34"/>
      <c r="E30" s="32"/>
      <c r="F30" s="34"/>
      <c r="G30" s="33"/>
      <c r="H30" s="31"/>
    </row>
    <row r="31" customFormat="false" ht="19.5" hidden="false" customHeight="true" outlineLevel="0" collapsed="false">
      <c r="B31" s="30"/>
      <c r="C31" s="31"/>
      <c r="D31" s="34"/>
      <c r="E31" s="32"/>
      <c r="F31" s="34"/>
      <c r="G31" s="33"/>
      <c r="H31" s="31"/>
    </row>
    <row r="32" customFormat="false" ht="19.5" hidden="false" customHeight="true" outlineLevel="0" collapsed="false">
      <c r="B32" s="30"/>
      <c r="C32" s="31"/>
      <c r="D32" s="34"/>
      <c r="E32" s="32"/>
      <c r="F32" s="34"/>
      <c r="G32" s="33"/>
      <c r="H32" s="31"/>
    </row>
    <row r="33" customFormat="false" ht="19.5" hidden="false" customHeight="true" outlineLevel="0" collapsed="false">
      <c r="B33" s="30"/>
      <c r="C33" s="31"/>
      <c r="D33" s="34"/>
      <c r="E33" s="32"/>
      <c r="F33" s="34"/>
      <c r="G33" s="33"/>
      <c r="H33" s="31"/>
    </row>
    <row r="35" customFormat="false" ht="15" hidden="false" customHeight="false" outlineLevel="0" collapsed="false">
      <c r="B35" s="16" t="s">
        <v>201</v>
      </c>
    </row>
    <row r="36" customFormat="false" ht="15" hidden="false" customHeight="false" outlineLevel="0" collapsed="false">
      <c r="B36" s="22" t="n">
        <f aca="false">COUNTA(B6:B33)</f>
        <v>0</v>
      </c>
      <c r="C36" s="22"/>
      <c r="D36" s="22"/>
      <c r="E36" s="17" t="n">
        <f aca="false">SUM(E6:E33)</f>
        <v>0</v>
      </c>
      <c r="F36" s="17"/>
      <c r="G36" s="17"/>
      <c r="H36" s="22" t="n">
        <f aca="false">COUNTIF(F6:F33,"Yes")</f>
        <v>0</v>
      </c>
      <c r="I36" s="22"/>
      <c r="J36" s="22"/>
      <c r="K36" s="22" t="n">
        <f aca="false">COUNTIFS(B6:B33,"&lt;&gt;",F6:F33,"&lt;&gt;Yes")</f>
        <v>0</v>
      </c>
      <c r="L36" s="22"/>
      <c r="M36" s="22"/>
    </row>
    <row r="37" customFormat="false" ht="15" hidden="false" customHeight="false" outlineLevel="0" collapsed="false">
      <c r="B37" s="22"/>
      <c r="C37" s="22"/>
      <c r="D37" s="22"/>
      <c r="E37" s="17"/>
      <c r="F37" s="17"/>
      <c r="G37" s="17"/>
      <c r="H37" s="22"/>
      <c r="I37" s="22"/>
      <c r="J37" s="22"/>
      <c r="K37" s="22"/>
      <c r="L37" s="22"/>
      <c r="M37" s="22"/>
    </row>
    <row r="38" customFormat="false" ht="15" hidden="false" customHeight="false" outlineLevel="0" collapsed="false">
      <c r="B38" s="21" t="s">
        <v>202</v>
      </c>
      <c r="C38" s="21"/>
      <c r="D38" s="21"/>
      <c r="E38" s="21" t="s">
        <v>203</v>
      </c>
      <c r="F38" s="21"/>
      <c r="G38" s="21"/>
      <c r="H38" s="21" t="s">
        <v>204</v>
      </c>
      <c r="I38" s="21"/>
      <c r="J38" s="21"/>
      <c r="K38" s="21" t="s">
        <v>205</v>
      </c>
      <c r="L38" s="21"/>
      <c r="M38" s="21"/>
    </row>
  </sheetData>
  <autoFilter ref="B5:H33"/>
  <mergeCells count="8">
    <mergeCell ref="B36:D37"/>
    <mergeCell ref="E36:G37"/>
    <mergeCell ref="H36:J37"/>
    <mergeCell ref="K36:M37"/>
    <mergeCell ref="B38:D38"/>
    <mergeCell ref="E38:G38"/>
    <mergeCell ref="H38:J38"/>
    <mergeCell ref="K38:M38"/>
  </mergeCells>
  <conditionalFormatting sqref="F6:F33">
    <cfRule type="expression" priority="2" aboveAverage="0" equalAverage="0" bottom="0" percent="0" rank="0" text="" dxfId="4">
      <formula>EXACT(TRIM(F6),"Yes")</formula>
    </cfRule>
    <cfRule type="expression" priority="3" aboveAverage="0" equalAverage="0" bottom="0" percent="0" rank="0" text="" dxfId="7">
      <formula>EXACT(TRIM(F6),"No")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D6:D33" type="list">
      <formula1>Lists!$M$2:$M$6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F6:F33" type="list">
      <formula1>Lists!$L$2:$L$3</formula1>
      <formula2>0</formula2>
    </dataValidation>
  </dataValidations>
  <hyperlinks>
    <hyperlink ref="B1" r:id="rId1" location="'Dashboard'!A1" display="‹ Dashboard"/>
    <hyperlink ref="C1" r:id="rId2" location="'START%20HERE'!A1" display="‹ Start Here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tableParts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true"/>
  </sheetPr>
  <dimension ref="A1:E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7.5" hidden="false" customHeight="true" outlineLevel="0" collapsed="false">
      <c r="A1" s="9"/>
      <c r="B1" s="10" t="s">
        <v>66</v>
      </c>
      <c r="C1" s="10" t="s">
        <v>42</v>
      </c>
      <c r="D1" s="9"/>
      <c r="E1" s="9"/>
    </row>
    <row r="2" customFormat="false" ht="30" hidden="false" customHeight="true" outlineLevel="0" collapsed="false">
      <c r="A2" s="9"/>
      <c r="B2" s="27" t="s">
        <v>206</v>
      </c>
      <c r="C2" s="9"/>
      <c r="D2" s="9"/>
      <c r="E2" s="9"/>
    </row>
    <row r="3" customFormat="false" ht="19.5" hidden="false" customHeight="true" outlineLevel="0" collapsed="false">
      <c r="A3" s="15"/>
      <c r="B3" s="28" t="s">
        <v>207</v>
      </c>
      <c r="C3" s="15"/>
      <c r="D3" s="15"/>
      <c r="E3" s="15"/>
    </row>
    <row r="5" customFormat="false" ht="15" hidden="false" customHeight="false" outlineLevel="0" collapsed="false">
      <c r="B5" s="5" t="s">
        <v>208</v>
      </c>
      <c r="C5" s="5"/>
      <c r="D5" s="5"/>
      <c r="E5" s="5"/>
    </row>
    <row r="6" customFormat="false" ht="15" hidden="false" customHeight="false" outlineLevel="0" collapsed="false">
      <c r="B6" s="29" t="s">
        <v>79</v>
      </c>
      <c r="C6" s="29" t="s">
        <v>142</v>
      </c>
      <c r="D6" s="29" t="s">
        <v>69</v>
      </c>
      <c r="E6" s="29" t="s">
        <v>145</v>
      </c>
    </row>
    <row r="7" customFormat="false" ht="15" hidden="false" customHeight="false" outlineLevel="0" collapsed="false">
      <c r="B7" s="33" t="str">
        <f aca="false">IF('Master Checklist'!G6="","",'Master Checklist'!G6)</f>
        <v/>
      </c>
      <c r="C7" s="39" t="str">
        <f aca="false">IF('Master Checklist'!C6="","",'Master Checklist'!C6)</f>
        <v/>
      </c>
      <c r="D7" s="39" t="str">
        <f aca="false">IF('Master Checklist'!D6="","",'Master Checklist'!D6)</f>
        <v/>
      </c>
      <c r="E7" s="34" t="str">
        <f aca="false">IF('Master Checklist'!H6="","",'Master Checklist'!H6)</f>
        <v/>
      </c>
    </row>
    <row r="8" customFormat="false" ht="15" hidden="false" customHeight="false" outlineLevel="0" collapsed="false">
      <c r="B8" s="42" t="str">
        <f aca="false">IF('Master Checklist'!G7="","",'Master Checklist'!G7)</f>
        <v/>
      </c>
      <c r="C8" s="40" t="str">
        <f aca="false">IF('Master Checklist'!C7="","",'Master Checklist'!C7)</f>
        <v/>
      </c>
      <c r="D8" s="40" t="str">
        <f aca="false">IF('Master Checklist'!D7="","",'Master Checklist'!D7)</f>
        <v/>
      </c>
      <c r="E8" s="37" t="str">
        <f aca="false">IF('Master Checklist'!H7="","",'Master Checklist'!H7)</f>
        <v/>
      </c>
    </row>
    <row r="9" customFormat="false" ht="15" hidden="false" customHeight="false" outlineLevel="0" collapsed="false">
      <c r="B9" s="33" t="str">
        <f aca="false">IF('Master Checklist'!G8="","",'Master Checklist'!G8)</f>
        <v/>
      </c>
      <c r="C9" s="39" t="str">
        <f aca="false">IF('Master Checklist'!C8="","",'Master Checklist'!C8)</f>
        <v/>
      </c>
      <c r="D9" s="39" t="str">
        <f aca="false">IF('Master Checklist'!D8="","",'Master Checklist'!D8)</f>
        <v/>
      </c>
      <c r="E9" s="34" t="str">
        <f aca="false">IF('Master Checklist'!H8="","",'Master Checklist'!H8)</f>
        <v/>
      </c>
    </row>
    <row r="10" customFormat="false" ht="15" hidden="false" customHeight="false" outlineLevel="0" collapsed="false">
      <c r="B10" s="42" t="str">
        <f aca="false">IF('Master Checklist'!G9="","",'Master Checklist'!G9)</f>
        <v/>
      </c>
      <c r="C10" s="40" t="str">
        <f aca="false">IF('Master Checklist'!C9="","",'Master Checklist'!C9)</f>
        <v/>
      </c>
      <c r="D10" s="40" t="str">
        <f aca="false">IF('Master Checklist'!D9="","",'Master Checklist'!D9)</f>
        <v/>
      </c>
      <c r="E10" s="37" t="str">
        <f aca="false">IF('Master Checklist'!H9="","",'Master Checklist'!H9)</f>
        <v/>
      </c>
    </row>
    <row r="11" customFormat="false" ht="15" hidden="false" customHeight="false" outlineLevel="0" collapsed="false">
      <c r="B11" s="33" t="str">
        <f aca="false">IF('Master Checklist'!G10="","",'Master Checklist'!G10)</f>
        <v/>
      </c>
      <c r="C11" s="39" t="str">
        <f aca="false">IF('Master Checklist'!C10="","",'Master Checklist'!C10)</f>
        <v/>
      </c>
      <c r="D11" s="39" t="str">
        <f aca="false">IF('Master Checklist'!D10="","",'Master Checklist'!D10)</f>
        <v/>
      </c>
      <c r="E11" s="34" t="str">
        <f aca="false">IF('Master Checklist'!H10="","",'Master Checklist'!H10)</f>
        <v/>
      </c>
    </row>
    <row r="12" customFormat="false" ht="15" hidden="false" customHeight="false" outlineLevel="0" collapsed="false">
      <c r="B12" s="42" t="str">
        <f aca="false">IF('Master Checklist'!G11="","",'Master Checklist'!G11)</f>
        <v/>
      </c>
      <c r="C12" s="40" t="str">
        <f aca="false">IF('Master Checklist'!C11="","",'Master Checklist'!C11)</f>
        <v/>
      </c>
      <c r="D12" s="40" t="str">
        <f aca="false">IF('Master Checklist'!D11="","",'Master Checklist'!D11)</f>
        <v/>
      </c>
      <c r="E12" s="37" t="str">
        <f aca="false">IF('Master Checklist'!H11="","",'Master Checklist'!H11)</f>
        <v/>
      </c>
    </row>
    <row r="13" customFormat="false" ht="15" hidden="false" customHeight="false" outlineLevel="0" collapsed="false">
      <c r="B13" s="33" t="str">
        <f aca="false">IF('Master Checklist'!G12="","",'Master Checklist'!G12)</f>
        <v/>
      </c>
      <c r="C13" s="39" t="str">
        <f aca="false">IF('Master Checklist'!C12="","",'Master Checklist'!C12)</f>
        <v/>
      </c>
      <c r="D13" s="39" t="str">
        <f aca="false">IF('Master Checklist'!D12="","",'Master Checklist'!D12)</f>
        <v/>
      </c>
      <c r="E13" s="34" t="str">
        <f aca="false">IF('Master Checklist'!H12="","",'Master Checklist'!H12)</f>
        <v/>
      </c>
    </row>
    <row r="14" customFormat="false" ht="15" hidden="false" customHeight="false" outlineLevel="0" collapsed="false">
      <c r="B14" s="42" t="str">
        <f aca="false">IF('Master Checklist'!G13="","",'Master Checklist'!G13)</f>
        <v/>
      </c>
      <c r="C14" s="40" t="str">
        <f aca="false">IF('Master Checklist'!C13="","",'Master Checklist'!C13)</f>
        <v/>
      </c>
      <c r="D14" s="40" t="str">
        <f aca="false">IF('Master Checklist'!D13="","",'Master Checklist'!D13)</f>
        <v/>
      </c>
      <c r="E14" s="37" t="str">
        <f aca="false">IF('Master Checklist'!H13="","",'Master Checklist'!H13)</f>
        <v/>
      </c>
    </row>
    <row r="15" customFormat="false" ht="15" hidden="false" customHeight="false" outlineLevel="0" collapsed="false">
      <c r="B15" s="33" t="str">
        <f aca="false">IF('Master Checklist'!G14="","",'Master Checklist'!G14)</f>
        <v/>
      </c>
      <c r="C15" s="39" t="str">
        <f aca="false">IF('Master Checklist'!C14="","",'Master Checklist'!C14)</f>
        <v/>
      </c>
      <c r="D15" s="39" t="str">
        <f aca="false">IF('Master Checklist'!D14="","",'Master Checklist'!D14)</f>
        <v/>
      </c>
      <c r="E15" s="34" t="str">
        <f aca="false">IF('Master Checklist'!H14="","",'Master Checklist'!H14)</f>
        <v/>
      </c>
    </row>
    <row r="16" customFormat="false" ht="15" hidden="false" customHeight="false" outlineLevel="0" collapsed="false">
      <c r="B16" s="42" t="str">
        <f aca="false">IF('Master Checklist'!G15="","",'Master Checklist'!G15)</f>
        <v/>
      </c>
      <c r="C16" s="40" t="str">
        <f aca="false">IF('Master Checklist'!C15="","",'Master Checklist'!C15)</f>
        <v/>
      </c>
      <c r="D16" s="40" t="str">
        <f aca="false">IF('Master Checklist'!D15="","",'Master Checklist'!D15)</f>
        <v/>
      </c>
      <c r="E16" s="37" t="str">
        <f aca="false">IF('Master Checklist'!H15="","",'Master Checklist'!H15)</f>
        <v/>
      </c>
    </row>
    <row r="17" customFormat="false" ht="15" hidden="false" customHeight="false" outlineLevel="0" collapsed="false">
      <c r="B17" s="33" t="str">
        <f aca="false">IF('Master Checklist'!G16="","",'Master Checklist'!G16)</f>
        <v/>
      </c>
      <c r="C17" s="39" t="str">
        <f aca="false">IF('Master Checklist'!C16="","",'Master Checklist'!C16)</f>
        <v/>
      </c>
      <c r="D17" s="39" t="str">
        <f aca="false">IF('Master Checklist'!D16="","",'Master Checklist'!D16)</f>
        <v/>
      </c>
      <c r="E17" s="34" t="str">
        <f aca="false">IF('Master Checklist'!H16="","",'Master Checklist'!H16)</f>
        <v/>
      </c>
    </row>
    <row r="18" customFormat="false" ht="15" hidden="false" customHeight="false" outlineLevel="0" collapsed="false">
      <c r="B18" s="42" t="str">
        <f aca="false">IF('Master Checklist'!G17="","",'Master Checklist'!G17)</f>
        <v/>
      </c>
      <c r="C18" s="40" t="str">
        <f aca="false">IF('Master Checklist'!C17="","",'Master Checklist'!C17)</f>
        <v/>
      </c>
      <c r="D18" s="40" t="str">
        <f aca="false">IF('Master Checklist'!D17="","",'Master Checklist'!D17)</f>
        <v/>
      </c>
      <c r="E18" s="37" t="str">
        <f aca="false">IF('Master Checklist'!H17="","",'Master Checklist'!H17)</f>
        <v/>
      </c>
    </row>
    <row r="19" customFormat="false" ht="15" hidden="false" customHeight="false" outlineLevel="0" collapsed="false">
      <c r="B19" s="33" t="str">
        <f aca="false">IF('Master Checklist'!G18="","",'Master Checklist'!G18)</f>
        <v/>
      </c>
      <c r="C19" s="39" t="str">
        <f aca="false">IF('Master Checklist'!C18="","",'Master Checklist'!C18)</f>
        <v/>
      </c>
      <c r="D19" s="39" t="str">
        <f aca="false">IF('Master Checklist'!D18="","",'Master Checklist'!D18)</f>
        <v/>
      </c>
      <c r="E19" s="34" t="str">
        <f aca="false">IF('Master Checklist'!H18="","",'Master Checklist'!H18)</f>
        <v/>
      </c>
    </row>
    <row r="20" customFormat="false" ht="15" hidden="false" customHeight="false" outlineLevel="0" collapsed="false">
      <c r="B20" s="42" t="str">
        <f aca="false">IF('Master Checklist'!G19="","",'Master Checklist'!G19)</f>
        <v/>
      </c>
      <c r="C20" s="40" t="str">
        <f aca="false">IF('Master Checklist'!C19="","",'Master Checklist'!C19)</f>
        <v/>
      </c>
      <c r="D20" s="40" t="str">
        <f aca="false">IF('Master Checklist'!D19="","",'Master Checklist'!D19)</f>
        <v/>
      </c>
      <c r="E20" s="37" t="str">
        <f aca="false">IF('Master Checklist'!H19="","",'Master Checklist'!H19)</f>
        <v/>
      </c>
    </row>
    <row r="21" customFormat="false" ht="15" hidden="false" customHeight="false" outlineLevel="0" collapsed="false">
      <c r="B21" s="33" t="str">
        <f aca="false">IF('Master Checklist'!G20="","",'Master Checklist'!G20)</f>
        <v/>
      </c>
      <c r="C21" s="39" t="str">
        <f aca="false">IF('Master Checklist'!C20="","",'Master Checklist'!C20)</f>
        <v/>
      </c>
      <c r="D21" s="39" t="str">
        <f aca="false">IF('Master Checklist'!D20="","",'Master Checklist'!D20)</f>
        <v/>
      </c>
      <c r="E21" s="34" t="str">
        <f aca="false">IF('Master Checklist'!H20="","",'Master Checklist'!H20)</f>
        <v/>
      </c>
    </row>
    <row r="22" customFormat="false" ht="15" hidden="false" customHeight="false" outlineLevel="0" collapsed="false">
      <c r="B22" s="42" t="str">
        <f aca="false">IF('Master Checklist'!G21="","",'Master Checklist'!G21)</f>
        <v/>
      </c>
      <c r="C22" s="40" t="str">
        <f aca="false">IF('Master Checklist'!C21="","",'Master Checklist'!C21)</f>
        <v/>
      </c>
      <c r="D22" s="40" t="str">
        <f aca="false">IF('Master Checklist'!D21="","",'Master Checklist'!D21)</f>
        <v/>
      </c>
      <c r="E22" s="37" t="str">
        <f aca="false">IF('Master Checklist'!H21="","",'Master Checklist'!H21)</f>
        <v/>
      </c>
    </row>
    <row r="23" customFormat="false" ht="15" hidden="false" customHeight="false" outlineLevel="0" collapsed="false">
      <c r="B23" s="33" t="str">
        <f aca="false">IF('Master Checklist'!G22="","",'Master Checklist'!G22)</f>
        <v/>
      </c>
      <c r="C23" s="39" t="str">
        <f aca="false">IF('Master Checklist'!C22="","",'Master Checklist'!C22)</f>
        <v/>
      </c>
      <c r="D23" s="39" t="str">
        <f aca="false">IF('Master Checklist'!D22="","",'Master Checklist'!D22)</f>
        <v/>
      </c>
      <c r="E23" s="34" t="str">
        <f aca="false">IF('Master Checklist'!H22="","",'Master Checklist'!H22)</f>
        <v/>
      </c>
    </row>
    <row r="24" customFormat="false" ht="15" hidden="false" customHeight="false" outlineLevel="0" collapsed="false">
      <c r="B24" s="42" t="str">
        <f aca="false">IF('Master Checklist'!G23="","",'Master Checklist'!G23)</f>
        <v/>
      </c>
      <c r="C24" s="40" t="str">
        <f aca="false">IF('Master Checklist'!C23="","",'Master Checklist'!C23)</f>
        <v/>
      </c>
      <c r="D24" s="40" t="str">
        <f aca="false">IF('Master Checklist'!D23="","",'Master Checklist'!D23)</f>
        <v/>
      </c>
      <c r="E24" s="37" t="str">
        <f aca="false">IF('Master Checklist'!H23="","",'Master Checklist'!H23)</f>
        <v/>
      </c>
    </row>
    <row r="25" customFormat="false" ht="15" hidden="false" customHeight="false" outlineLevel="0" collapsed="false">
      <c r="B25" s="33" t="str">
        <f aca="false">IF('Master Checklist'!G24="","",'Master Checklist'!G24)</f>
        <v/>
      </c>
      <c r="C25" s="39" t="str">
        <f aca="false">IF('Master Checklist'!C24="","",'Master Checklist'!C24)</f>
        <v/>
      </c>
      <c r="D25" s="39" t="str">
        <f aca="false">IF('Master Checklist'!D24="","",'Master Checklist'!D24)</f>
        <v/>
      </c>
      <c r="E25" s="34" t="str">
        <f aca="false">IF('Master Checklist'!H24="","",'Master Checklist'!H24)</f>
        <v/>
      </c>
    </row>
    <row r="26" customFormat="false" ht="15" hidden="false" customHeight="false" outlineLevel="0" collapsed="false">
      <c r="B26" s="42" t="str">
        <f aca="false">IF('Master Checklist'!G25="","",'Master Checklist'!G25)</f>
        <v/>
      </c>
      <c r="C26" s="40" t="str">
        <f aca="false">IF('Master Checklist'!C25="","",'Master Checklist'!C25)</f>
        <v/>
      </c>
      <c r="D26" s="40" t="str">
        <f aca="false">IF('Master Checklist'!D25="","",'Master Checklist'!D25)</f>
        <v/>
      </c>
      <c r="E26" s="37" t="str">
        <f aca="false">IF('Master Checklist'!H25="","",'Master Checklist'!H25)</f>
        <v/>
      </c>
    </row>
    <row r="27" customFormat="false" ht="15" hidden="false" customHeight="false" outlineLevel="0" collapsed="false">
      <c r="B27" s="33" t="str">
        <f aca="false">IF('Master Checklist'!G26="","",'Master Checklist'!G26)</f>
        <v/>
      </c>
      <c r="C27" s="39" t="str">
        <f aca="false">IF('Master Checklist'!C26="","",'Master Checklist'!C26)</f>
        <v/>
      </c>
      <c r="D27" s="39" t="str">
        <f aca="false">IF('Master Checklist'!D26="","",'Master Checklist'!D26)</f>
        <v/>
      </c>
      <c r="E27" s="34" t="str">
        <f aca="false">IF('Master Checklist'!H26="","",'Master Checklist'!H26)</f>
        <v/>
      </c>
    </row>
    <row r="28" customFormat="false" ht="15" hidden="false" customHeight="false" outlineLevel="0" collapsed="false">
      <c r="B28" s="42" t="str">
        <f aca="false">IF('Master Checklist'!G27="","",'Master Checklist'!G27)</f>
        <v/>
      </c>
      <c r="C28" s="40" t="str">
        <f aca="false">IF('Master Checklist'!C27="","",'Master Checklist'!C27)</f>
        <v/>
      </c>
      <c r="D28" s="40" t="str">
        <f aca="false">IF('Master Checklist'!D27="","",'Master Checklist'!D27)</f>
        <v/>
      </c>
      <c r="E28" s="37" t="str">
        <f aca="false">IF('Master Checklist'!H27="","",'Master Checklist'!H27)</f>
        <v/>
      </c>
    </row>
    <row r="29" customFormat="false" ht="15" hidden="false" customHeight="false" outlineLevel="0" collapsed="false">
      <c r="B29" s="33" t="str">
        <f aca="false">IF('Master Checklist'!G28="","",'Master Checklist'!G28)</f>
        <v/>
      </c>
      <c r="C29" s="39" t="str">
        <f aca="false">IF('Master Checklist'!C28="","",'Master Checklist'!C28)</f>
        <v/>
      </c>
      <c r="D29" s="39" t="str">
        <f aca="false">IF('Master Checklist'!D28="","",'Master Checklist'!D28)</f>
        <v/>
      </c>
      <c r="E29" s="34" t="str">
        <f aca="false">IF('Master Checklist'!H28="","",'Master Checklist'!H28)</f>
        <v/>
      </c>
    </row>
    <row r="30" customFormat="false" ht="15" hidden="false" customHeight="false" outlineLevel="0" collapsed="false">
      <c r="B30" s="42" t="str">
        <f aca="false">IF('Master Checklist'!G29="","",'Master Checklist'!G29)</f>
        <v/>
      </c>
      <c r="C30" s="40" t="str">
        <f aca="false">IF('Master Checklist'!C29="","",'Master Checklist'!C29)</f>
        <v/>
      </c>
      <c r="D30" s="40" t="str">
        <f aca="false">IF('Master Checklist'!D29="","",'Master Checklist'!D29)</f>
        <v/>
      </c>
      <c r="E30" s="37" t="str">
        <f aca="false">IF('Master Checklist'!H29="","",'Master Checklist'!H29)</f>
        <v/>
      </c>
    </row>
    <row r="31" customFormat="false" ht="15" hidden="false" customHeight="false" outlineLevel="0" collapsed="false">
      <c r="B31" s="33" t="str">
        <f aca="false">IF('Master Checklist'!G30="","",'Master Checklist'!G30)</f>
        <v/>
      </c>
      <c r="C31" s="39" t="str">
        <f aca="false">IF('Master Checklist'!C30="","",'Master Checklist'!C30)</f>
        <v/>
      </c>
      <c r="D31" s="39" t="str">
        <f aca="false">IF('Master Checklist'!D30="","",'Master Checklist'!D30)</f>
        <v/>
      </c>
      <c r="E31" s="34" t="str">
        <f aca="false">IF('Master Checklist'!H30="","",'Master Checklist'!H30)</f>
        <v/>
      </c>
    </row>
    <row r="32" customFormat="false" ht="15" hidden="false" customHeight="false" outlineLevel="0" collapsed="false">
      <c r="B32" s="42" t="str">
        <f aca="false">IF('Master Checklist'!G31="","",'Master Checklist'!G31)</f>
        <v/>
      </c>
      <c r="C32" s="40" t="str">
        <f aca="false">IF('Master Checklist'!C31="","",'Master Checklist'!C31)</f>
        <v/>
      </c>
      <c r="D32" s="40" t="str">
        <f aca="false">IF('Master Checklist'!D31="","",'Master Checklist'!D31)</f>
        <v/>
      </c>
      <c r="E32" s="37" t="str">
        <f aca="false">IF('Master Checklist'!H31="","",'Master Checklist'!H31)</f>
        <v/>
      </c>
    </row>
    <row r="33" customFormat="false" ht="15" hidden="false" customHeight="false" outlineLevel="0" collapsed="false">
      <c r="B33" s="33" t="str">
        <f aca="false">IF('Master Checklist'!G32="","",'Master Checklist'!G32)</f>
        <v/>
      </c>
      <c r="C33" s="39" t="str">
        <f aca="false">IF('Master Checklist'!C32="","",'Master Checklist'!C32)</f>
        <v/>
      </c>
      <c r="D33" s="39" t="str">
        <f aca="false">IF('Master Checklist'!D32="","",'Master Checklist'!D32)</f>
        <v/>
      </c>
      <c r="E33" s="34" t="str">
        <f aca="false">IF('Master Checklist'!H32="","",'Master Checklist'!H32)</f>
        <v/>
      </c>
    </row>
    <row r="34" customFormat="false" ht="15" hidden="false" customHeight="false" outlineLevel="0" collapsed="false">
      <c r="B34" s="42" t="str">
        <f aca="false">IF('Master Checklist'!G33="","",'Master Checklist'!G33)</f>
        <v/>
      </c>
      <c r="C34" s="40" t="str">
        <f aca="false">IF('Master Checklist'!C33="","",'Master Checklist'!C33)</f>
        <v/>
      </c>
      <c r="D34" s="40" t="str">
        <f aca="false">IF('Master Checklist'!D33="","",'Master Checklist'!D33)</f>
        <v/>
      </c>
      <c r="E34" s="37" t="str">
        <f aca="false">IF('Master Checklist'!H33="","",'Master Checklist'!H33)</f>
        <v/>
      </c>
    </row>
    <row r="35" customFormat="false" ht="15" hidden="false" customHeight="false" outlineLevel="0" collapsed="false">
      <c r="B35" s="33" t="str">
        <f aca="false">IF('Master Checklist'!G34="","",'Master Checklist'!G34)</f>
        <v/>
      </c>
      <c r="C35" s="39" t="str">
        <f aca="false">IF('Master Checklist'!C34="","",'Master Checklist'!C34)</f>
        <v/>
      </c>
      <c r="D35" s="39" t="str">
        <f aca="false">IF('Master Checklist'!D34="","",'Master Checklist'!D34)</f>
        <v/>
      </c>
      <c r="E35" s="34" t="str">
        <f aca="false">IF('Master Checklist'!H34="","",'Master Checklist'!H34)</f>
        <v/>
      </c>
    </row>
    <row r="36" customFormat="false" ht="15" hidden="false" customHeight="false" outlineLevel="0" collapsed="false">
      <c r="B36" s="42" t="str">
        <f aca="false">IF('Master Checklist'!G35="","",'Master Checklist'!G35)</f>
        <v/>
      </c>
      <c r="C36" s="40" t="str">
        <f aca="false">IF('Master Checklist'!C35="","",'Master Checklist'!C35)</f>
        <v/>
      </c>
      <c r="D36" s="40" t="str">
        <f aca="false">IF('Master Checklist'!D35="","",'Master Checklist'!D35)</f>
        <v/>
      </c>
      <c r="E36" s="37" t="str">
        <f aca="false">IF('Master Checklist'!H35="","",'Master Checklist'!H35)</f>
        <v/>
      </c>
    </row>
    <row r="37" customFormat="false" ht="15" hidden="false" customHeight="false" outlineLevel="0" collapsed="false">
      <c r="B37" s="33" t="str">
        <f aca="false">IF('Master Checklist'!G36="","",'Master Checklist'!G36)</f>
        <v/>
      </c>
      <c r="C37" s="39" t="str">
        <f aca="false">IF('Master Checklist'!C36="","",'Master Checklist'!C36)</f>
        <v/>
      </c>
      <c r="D37" s="39" t="str">
        <f aca="false">IF('Master Checklist'!D36="","",'Master Checklist'!D36)</f>
        <v/>
      </c>
      <c r="E37" s="34" t="str">
        <f aca="false">IF('Master Checklist'!H36="","",'Master Checklist'!H36)</f>
        <v/>
      </c>
    </row>
    <row r="38" customFormat="false" ht="15" hidden="false" customHeight="false" outlineLevel="0" collapsed="false">
      <c r="B38" s="42" t="str">
        <f aca="false">IF('Master Checklist'!G37="","",'Master Checklist'!G37)</f>
        <v/>
      </c>
      <c r="C38" s="40" t="str">
        <f aca="false">IF('Master Checklist'!C37="","",'Master Checklist'!C37)</f>
        <v/>
      </c>
      <c r="D38" s="40" t="str">
        <f aca="false">IF('Master Checklist'!D37="","",'Master Checklist'!D37)</f>
        <v/>
      </c>
      <c r="E38" s="37" t="str">
        <f aca="false">IF('Master Checklist'!H37="","",'Master Checklist'!H37)</f>
        <v/>
      </c>
    </row>
    <row r="39" customFormat="false" ht="15" hidden="false" customHeight="false" outlineLevel="0" collapsed="false">
      <c r="B39" s="33" t="str">
        <f aca="false">IF('Master Checklist'!G38="","",'Master Checklist'!G38)</f>
        <v/>
      </c>
      <c r="C39" s="39" t="str">
        <f aca="false">IF('Master Checklist'!C38="","",'Master Checklist'!C38)</f>
        <v/>
      </c>
      <c r="D39" s="39" t="str">
        <f aca="false">IF('Master Checklist'!D38="","",'Master Checklist'!D38)</f>
        <v/>
      </c>
      <c r="E39" s="34" t="str">
        <f aca="false">IF('Master Checklist'!H38="","",'Master Checklist'!H38)</f>
        <v/>
      </c>
    </row>
    <row r="40" customFormat="false" ht="15" hidden="false" customHeight="false" outlineLevel="0" collapsed="false">
      <c r="B40" s="42" t="str">
        <f aca="false">IF('Master Checklist'!G39="","",'Master Checklist'!G39)</f>
        <v/>
      </c>
      <c r="C40" s="40" t="str">
        <f aca="false">IF('Master Checklist'!C39="","",'Master Checklist'!C39)</f>
        <v/>
      </c>
      <c r="D40" s="40" t="str">
        <f aca="false">IF('Master Checklist'!D39="","",'Master Checklist'!D39)</f>
        <v/>
      </c>
      <c r="E40" s="37" t="str">
        <f aca="false">IF('Master Checklist'!H39="","",'Master Checklist'!H39)</f>
        <v/>
      </c>
    </row>
    <row r="41" customFormat="false" ht="15" hidden="false" customHeight="false" outlineLevel="0" collapsed="false">
      <c r="B41" s="33" t="str">
        <f aca="false">IF('Master Checklist'!G40="","",'Master Checklist'!G40)</f>
        <v/>
      </c>
      <c r="C41" s="39" t="str">
        <f aca="false">IF('Master Checklist'!C40="","",'Master Checklist'!C40)</f>
        <v/>
      </c>
      <c r="D41" s="39" t="str">
        <f aca="false">IF('Master Checklist'!D40="","",'Master Checklist'!D40)</f>
        <v/>
      </c>
      <c r="E41" s="34" t="str">
        <f aca="false">IF('Master Checklist'!H40="","",'Master Checklist'!H40)</f>
        <v/>
      </c>
    </row>
    <row r="42" customFormat="false" ht="15" hidden="false" customHeight="false" outlineLevel="0" collapsed="false">
      <c r="B42" s="42" t="str">
        <f aca="false">IF('Master Checklist'!G41="","",'Master Checklist'!G41)</f>
        <v/>
      </c>
      <c r="C42" s="40" t="str">
        <f aca="false">IF('Master Checklist'!C41="","",'Master Checklist'!C41)</f>
        <v/>
      </c>
      <c r="D42" s="40" t="str">
        <f aca="false">IF('Master Checklist'!D41="","",'Master Checklist'!D41)</f>
        <v/>
      </c>
      <c r="E42" s="37" t="str">
        <f aca="false">IF('Master Checklist'!H41="","",'Master Checklist'!H41)</f>
        <v/>
      </c>
    </row>
    <row r="43" customFormat="false" ht="15" hidden="false" customHeight="false" outlineLevel="0" collapsed="false">
      <c r="B43" s="33" t="str">
        <f aca="false">IF('Master Checklist'!G42="","",'Master Checklist'!G42)</f>
        <v/>
      </c>
      <c r="C43" s="39" t="str">
        <f aca="false">IF('Master Checklist'!C42="","",'Master Checklist'!C42)</f>
        <v/>
      </c>
      <c r="D43" s="39" t="str">
        <f aca="false">IF('Master Checklist'!D42="","",'Master Checklist'!D42)</f>
        <v/>
      </c>
      <c r="E43" s="34" t="str">
        <f aca="false">IF('Master Checklist'!H42="","",'Master Checklist'!H42)</f>
        <v/>
      </c>
    </row>
    <row r="44" customFormat="false" ht="15" hidden="false" customHeight="false" outlineLevel="0" collapsed="false">
      <c r="B44" s="42" t="str">
        <f aca="false">IF('Master Checklist'!G43="","",'Master Checklist'!G43)</f>
        <v/>
      </c>
      <c r="C44" s="40" t="str">
        <f aca="false">IF('Master Checklist'!C43="","",'Master Checklist'!C43)</f>
        <v/>
      </c>
      <c r="D44" s="40" t="str">
        <f aca="false">IF('Master Checklist'!D43="","",'Master Checklist'!D43)</f>
        <v/>
      </c>
      <c r="E44" s="37" t="str">
        <f aca="false">IF('Master Checklist'!H43="","",'Master Checklist'!H43)</f>
        <v/>
      </c>
    </row>
    <row r="45" customFormat="false" ht="15" hidden="false" customHeight="false" outlineLevel="0" collapsed="false">
      <c r="B45" s="33" t="str">
        <f aca="false">IF('Master Checklist'!G44="","",'Master Checklist'!G44)</f>
        <v/>
      </c>
      <c r="C45" s="39" t="str">
        <f aca="false">IF('Master Checklist'!C44="","",'Master Checklist'!C44)</f>
        <v/>
      </c>
      <c r="D45" s="39" t="str">
        <f aca="false">IF('Master Checklist'!D44="","",'Master Checklist'!D44)</f>
        <v/>
      </c>
      <c r="E45" s="34" t="str">
        <f aca="false">IF('Master Checklist'!H44="","",'Master Checklist'!H44)</f>
        <v/>
      </c>
    </row>
    <row r="46" customFormat="false" ht="15" hidden="false" customHeight="false" outlineLevel="0" collapsed="false">
      <c r="B46" s="42" t="str">
        <f aca="false">IF('Master Checklist'!G45="","",'Master Checklist'!G45)</f>
        <v/>
      </c>
      <c r="C46" s="40" t="str">
        <f aca="false">IF('Master Checklist'!C45="","",'Master Checklist'!C45)</f>
        <v/>
      </c>
      <c r="D46" s="40" t="str">
        <f aca="false">IF('Master Checklist'!D45="","",'Master Checklist'!D45)</f>
        <v/>
      </c>
      <c r="E46" s="37" t="str">
        <f aca="false">IF('Master Checklist'!H45="","",'Master Checklist'!H45)</f>
        <v/>
      </c>
    </row>
    <row r="47" customFormat="false" ht="15" hidden="false" customHeight="false" outlineLevel="0" collapsed="false">
      <c r="B47" s="33" t="str">
        <f aca="false">IF('Master Checklist'!G46="","",'Master Checklist'!G46)</f>
        <v/>
      </c>
      <c r="C47" s="39" t="str">
        <f aca="false">IF('Master Checklist'!C46="","",'Master Checklist'!C46)</f>
        <v/>
      </c>
      <c r="D47" s="39" t="str">
        <f aca="false">IF('Master Checklist'!D46="","",'Master Checklist'!D46)</f>
        <v/>
      </c>
      <c r="E47" s="34" t="str">
        <f aca="false">IF('Master Checklist'!H46="","",'Master Checklist'!H46)</f>
        <v/>
      </c>
    </row>
    <row r="48" customFormat="false" ht="15" hidden="false" customHeight="false" outlineLevel="0" collapsed="false">
      <c r="B48" s="42" t="str">
        <f aca="false">IF('Master Checklist'!G47="","",'Master Checklist'!G47)</f>
        <v/>
      </c>
      <c r="C48" s="40" t="str">
        <f aca="false">IF('Master Checklist'!C47="","",'Master Checklist'!C47)</f>
        <v/>
      </c>
      <c r="D48" s="40" t="str">
        <f aca="false">IF('Master Checklist'!D47="","",'Master Checklist'!D47)</f>
        <v/>
      </c>
      <c r="E48" s="37" t="str">
        <f aca="false">IF('Master Checklist'!H47="","",'Master Checklist'!H47)</f>
        <v/>
      </c>
    </row>
    <row r="49" customFormat="false" ht="15" hidden="false" customHeight="false" outlineLevel="0" collapsed="false">
      <c r="B49" s="33" t="str">
        <f aca="false">IF('Master Checklist'!G48="","",'Master Checklist'!G48)</f>
        <v/>
      </c>
      <c r="C49" s="39" t="str">
        <f aca="false">IF('Master Checklist'!C48="","",'Master Checklist'!C48)</f>
        <v/>
      </c>
      <c r="D49" s="39" t="str">
        <f aca="false">IF('Master Checklist'!D48="","",'Master Checklist'!D48)</f>
        <v/>
      </c>
      <c r="E49" s="34" t="str">
        <f aca="false">IF('Master Checklist'!H48="","",'Master Checklist'!H48)</f>
        <v/>
      </c>
    </row>
    <row r="50" customFormat="false" ht="15" hidden="false" customHeight="false" outlineLevel="0" collapsed="false">
      <c r="B50" s="42" t="str">
        <f aca="false">IF('Master Checklist'!G49="","",'Master Checklist'!G49)</f>
        <v/>
      </c>
      <c r="C50" s="40" t="str">
        <f aca="false">IF('Master Checklist'!C49="","",'Master Checklist'!C49)</f>
        <v/>
      </c>
      <c r="D50" s="40" t="str">
        <f aca="false">IF('Master Checklist'!D49="","",'Master Checklist'!D49)</f>
        <v/>
      </c>
      <c r="E50" s="37" t="str">
        <f aca="false">IF('Master Checklist'!H49="","",'Master Checklist'!H49)</f>
        <v/>
      </c>
    </row>
    <row r="51" customFormat="false" ht="15" hidden="false" customHeight="false" outlineLevel="0" collapsed="false">
      <c r="B51" s="33" t="str">
        <f aca="false">IF('Master Checklist'!G50="","",'Master Checklist'!G50)</f>
        <v/>
      </c>
      <c r="C51" s="39" t="str">
        <f aca="false">IF('Master Checklist'!C50="","",'Master Checklist'!C50)</f>
        <v/>
      </c>
      <c r="D51" s="39" t="str">
        <f aca="false">IF('Master Checklist'!D50="","",'Master Checklist'!D50)</f>
        <v/>
      </c>
      <c r="E51" s="34" t="str">
        <f aca="false">IF('Master Checklist'!H50="","",'Master Checklist'!H50)</f>
        <v/>
      </c>
    </row>
    <row r="52" customFormat="false" ht="15" hidden="false" customHeight="false" outlineLevel="0" collapsed="false">
      <c r="B52" s="42" t="str">
        <f aca="false">IF('Master Checklist'!G51="","",'Master Checklist'!G51)</f>
        <v/>
      </c>
      <c r="C52" s="40" t="str">
        <f aca="false">IF('Master Checklist'!C51="","",'Master Checklist'!C51)</f>
        <v/>
      </c>
      <c r="D52" s="40" t="str">
        <f aca="false">IF('Master Checklist'!D51="","",'Master Checklist'!D51)</f>
        <v/>
      </c>
      <c r="E52" s="37" t="str">
        <f aca="false">IF('Master Checklist'!H51="","",'Master Checklist'!H51)</f>
        <v/>
      </c>
    </row>
    <row r="53" customFormat="false" ht="15" hidden="false" customHeight="false" outlineLevel="0" collapsed="false">
      <c r="B53" s="33" t="str">
        <f aca="false">IF('Master Checklist'!G52="","",'Master Checklist'!G52)</f>
        <v/>
      </c>
      <c r="C53" s="39" t="str">
        <f aca="false">IF('Master Checklist'!C52="","",'Master Checklist'!C52)</f>
        <v/>
      </c>
      <c r="D53" s="39" t="str">
        <f aca="false">IF('Master Checklist'!D52="","",'Master Checklist'!D52)</f>
        <v/>
      </c>
      <c r="E53" s="34" t="str">
        <f aca="false">IF('Master Checklist'!H52="","",'Master Checklist'!H52)</f>
        <v/>
      </c>
    </row>
    <row r="54" customFormat="false" ht="15" hidden="false" customHeight="false" outlineLevel="0" collapsed="false">
      <c r="B54" s="42" t="str">
        <f aca="false">IF('Master Checklist'!G53="","",'Master Checklist'!G53)</f>
        <v/>
      </c>
      <c r="C54" s="40" t="str">
        <f aca="false">IF('Master Checklist'!C53="","",'Master Checklist'!C53)</f>
        <v/>
      </c>
      <c r="D54" s="40" t="str">
        <f aca="false">IF('Master Checklist'!D53="","",'Master Checklist'!D53)</f>
        <v/>
      </c>
      <c r="E54" s="37" t="str">
        <f aca="false">IF('Master Checklist'!H53="","",'Master Checklist'!H53)</f>
        <v/>
      </c>
    </row>
    <row r="55" customFormat="false" ht="15" hidden="false" customHeight="false" outlineLevel="0" collapsed="false">
      <c r="B55" s="33" t="str">
        <f aca="false">IF('Master Checklist'!G54="","",'Master Checklist'!G54)</f>
        <v/>
      </c>
      <c r="C55" s="39" t="str">
        <f aca="false">IF('Master Checklist'!C54="","",'Master Checklist'!C54)</f>
        <v/>
      </c>
      <c r="D55" s="39" t="str">
        <f aca="false">IF('Master Checklist'!D54="","",'Master Checklist'!D54)</f>
        <v/>
      </c>
      <c r="E55" s="34" t="str">
        <f aca="false">IF('Master Checklist'!H54="","",'Master Checklist'!H54)</f>
        <v/>
      </c>
    </row>
    <row r="56" customFormat="false" ht="15" hidden="false" customHeight="false" outlineLevel="0" collapsed="false">
      <c r="B56" s="42" t="str">
        <f aca="false">IF('Master Checklist'!G55="","",'Master Checklist'!G55)</f>
        <v/>
      </c>
      <c r="C56" s="40" t="str">
        <f aca="false">IF('Master Checklist'!C55="","",'Master Checklist'!C55)</f>
        <v/>
      </c>
      <c r="D56" s="40" t="str">
        <f aca="false">IF('Master Checklist'!D55="","",'Master Checklist'!D55)</f>
        <v/>
      </c>
      <c r="E56" s="37" t="str">
        <f aca="false">IF('Master Checklist'!H55="","",'Master Checklist'!H55)</f>
        <v/>
      </c>
    </row>
    <row r="57" customFormat="false" ht="15" hidden="false" customHeight="false" outlineLevel="0" collapsed="false">
      <c r="B57" s="33" t="str">
        <f aca="false">IF('Master Checklist'!G56="","",'Master Checklist'!G56)</f>
        <v/>
      </c>
      <c r="C57" s="39" t="str">
        <f aca="false">IF('Master Checklist'!C56="","",'Master Checklist'!C56)</f>
        <v/>
      </c>
      <c r="D57" s="39" t="str">
        <f aca="false">IF('Master Checklist'!D56="","",'Master Checklist'!D56)</f>
        <v/>
      </c>
      <c r="E57" s="34" t="str">
        <f aca="false">IF('Master Checklist'!H56="","",'Master Checklist'!H56)</f>
        <v/>
      </c>
    </row>
    <row r="58" customFormat="false" ht="15" hidden="false" customHeight="false" outlineLevel="0" collapsed="false">
      <c r="B58" s="42" t="str">
        <f aca="false">IF('Master Checklist'!G57="","",'Master Checklist'!G57)</f>
        <v/>
      </c>
      <c r="C58" s="40" t="str">
        <f aca="false">IF('Master Checklist'!C57="","",'Master Checklist'!C57)</f>
        <v/>
      </c>
      <c r="D58" s="40" t="str">
        <f aca="false">IF('Master Checklist'!D57="","",'Master Checklist'!D57)</f>
        <v/>
      </c>
      <c r="E58" s="37" t="str">
        <f aca="false">IF('Master Checklist'!H57="","",'Master Checklist'!H57)</f>
        <v/>
      </c>
    </row>
    <row r="59" customFormat="false" ht="15" hidden="false" customHeight="false" outlineLevel="0" collapsed="false">
      <c r="B59" s="33" t="str">
        <f aca="false">IF('Master Checklist'!G58="","",'Master Checklist'!G58)</f>
        <v/>
      </c>
      <c r="C59" s="39" t="str">
        <f aca="false">IF('Master Checklist'!C58="","",'Master Checklist'!C58)</f>
        <v/>
      </c>
      <c r="D59" s="39" t="str">
        <f aca="false">IF('Master Checklist'!D58="","",'Master Checklist'!D58)</f>
        <v/>
      </c>
      <c r="E59" s="34" t="str">
        <f aca="false">IF('Master Checklist'!H58="","",'Master Checklist'!H58)</f>
        <v/>
      </c>
    </row>
    <row r="60" customFormat="false" ht="15" hidden="false" customHeight="false" outlineLevel="0" collapsed="false">
      <c r="B60" s="42" t="str">
        <f aca="false">IF('Master Checklist'!G59="","",'Master Checklist'!G59)</f>
        <v/>
      </c>
      <c r="C60" s="40" t="str">
        <f aca="false">IF('Master Checklist'!C59="","",'Master Checklist'!C59)</f>
        <v/>
      </c>
      <c r="D60" s="40" t="str">
        <f aca="false">IF('Master Checklist'!D59="","",'Master Checklist'!D59)</f>
        <v/>
      </c>
      <c r="E60" s="37" t="str">
        <f aca="false">IF('Master Checklist'!H59="","",'Master Checklist'!H59)</f>
        <v/>
      </c>
    </row>
    <row r="61" customFormat="false" ht="15" hidden="false" customHeight="false" outlineLevel="0" collapsed="false">
      <c r="B61" s="33" t="str">
        <f aca="false">IF('Master Checklist'!G60="","",'Master Checklist'!G60)</f>
        <v/>
      </c>
      <c r="C61" s="39" t="str">
        <f aca="false">IF('Master Checklist'!C60="","",'Master Checklist'!C60)</f>
        <v/>
      </c>
      <c r="D61" s="39" t="str">
        <f aca="false">IF('Master Checklist'!D60="","",'Master Checklist'!D60)</f>
        <v/>
      </c>
      <c r="E61" s="34" t="str">
        <f aca="false">IF('Master Checklist'!H60="","",'Master Checklist'!H60)</f>
        <v/>
      </c>
    </row>
    <row r="62" customFormat="false" ht="15" hidden="false" customHeight="false" outlineLevel="0" collapsed="false">
      <c r="B62" s="42" t="str">
        <f aca="false">IF('Master Checklist'!G61="","",'Master Checklist'!G61)</f>
        <v/>
      </c>
      <c r="C62" s="40" t="str">
        <f aca="false">IF('Master Checklist'!C61="","",'Master Checklist'!C61)</f>
        <v/>
      </c>
      <c r="D62" s="40" t="str">
        <f aca="false">IF('Master Checklist'!D61="","",'Master Checklist'!D61)</f>
        <v/>
      </c>
      <c r="E62" s="37" t="str">
        <f aca="false">IF('Master Checklist'!H61="","",'Master Checklist'!H61)</f>
        <v/>
      </c>
    </row>
    <row r="63" customFormat="false" ht="15" hidden="false" customHeight="false" outlineLevel="0" collapsed="false">
      <c r="B63" s="33" t="str">
        <f aca="false">IF('Master Checklist'!G62="","",'Master Checklist'!G62)</f>
        <v/>
      </c>
      <c r="C63" s="39" t="str">
        <f aca="false">IF('Master Checklist'!C62="","",'Master Checklist'!C62)</f>
        <v/>
      </c>
      <c r="D63" s="39" t="str">
        <f aca="false">IF('Master Checklist'!D62="","",'Master Checklist'!D62)</f>
        <v/>
      </c>
      <c r="E63" s="34" t="str">
        <f aca="false">IF('Master Checklist'!H62="","",'Master Checklist'!H62)</f>
        <v/>
      </c>
    </row>
    <row r="64" customFormat="false" ht="15" hidden="false" customHeight="false" outlineLevel="0" collapsed="false">
      <c r="B64" s="42" t="str">
        <f aca="false">IF('Master Checklist'!G63="","",'Master Checklist'!G63)</f>
        <v/>
      </c>
      <c r="C64" s="40" t="str">
        <f aca="false">IF('Master Checklist'!C63="","",'Master Checklist'!C63)</f>
        <v/>
      </c>
      <c r="D64" s="40" t="str">
        <f aca="false">IF('Master Checklist'!D63="","",'Master Checklist'!D63)</f>
        <v/>
      </c>
      <c r="E64" s="37" t="str">
        <f aca="false">IF('Master Checklist'!H63="","",'Master Checklist'!H63)</f>
        <v/>
      </c>
    </row>
    <row r="65" customFormat="false" ht="15" hidden="false" customHeight="false" outlineLevel="0" collapsed="false">
      <c r="B65" s="33" t="str">
        <f aca="false">IF('Master Checklist'!G64="","",'Master Checklist'!G64)</f>
        <v/>
      </c>
      <c r="C65" s="39" t="str">
        <f aca="false">IF('Master Checklist'!C64="","",'Master Checklist'!C64)</f>
        <v/>
      </c>
      <c r="D65" s="39" t="str">
        <f aca="false">IF('Master Checklist'!D64="","",'Master Checklist'!D64)</f>
        <v/>
      </c>
      <c r="E65" s="34" t="str">
        <f aca="false">IF('Master Checklist'!H64="","",'Master Checklist'!H64)</f>
        <v/>
      </c>
    </row>
    <row r="66" customFormat="false" ht="15" hidden="false" customHeight="false" outlineLevel="0" collapsed="false">
      <c r="B66" s="42" t="str">
        <f aca="false">IF('Master Checklist'!G65="","",'Master Checklist'!G65)</f>
        <v/>
      </c>
      <c r="C66" s="40" t="str">
        <f aca="false">IF('Master Checklist'!C65="","",'Master Checklist'!C65)</f>
        <v/>
      </c>
      <c r="D66" s="40" t="str">
        <f aca="false">IF('Master Checklist'!D65="","",'Master Checklist'!D65)</f>
        <v/>
      </c>
      <c r="E66" s="37" t="str">
        <f aca="false">IF('Master Checklist'!H65="","",'Master Checklist'!H65)</f>
        <v/>
      </c>
    </row>
    <row r="69" customFormat="false" ht="15" hidden="false" customHeight="false" outlineLevel="0" collapsed="false">
      <c r="B69" s="5" t="s">
        <v>209</v>
      </c>
      <c r="C69" s="5"/>
      <c r="D69" s="5"/>
      <c r="E69" s="5"/>
    </row>
    <row r="70" customFormat="false" ht="15" hidden="false" customHeight="false" outlineLevel="0" collapsed="false">
      <c r="B70" s="29" t="s">
        <v>79</v>
      </c>
      <c r="C70" s="29" t="s">
        <v>210</v>
      </c>
      <c r="D70" s="29" t="s">
        <v>211</v>
      </c>
      <c r="E70" s="29" t="s">
        <v>145</v>
      </c>
    </row>
    <row r="71" customFormat="false" ht="15" hidden="false" customHeight="false" outlineLevel="0" collapsed="false">
      <c r="B71" s="33" t="str">
        <f aca="false">IF(Payments!H6="","",Payments!H6)</f>
        <v/>
      </c>
      <c r="C71" s="39" t="str">
        <f aca="false">IF(Payments!B6="","",Payments!B6&amp;" - "&amp;Payments!C6)</f>
        <v/>
      </c>
      <c r="D71" s="43" t="str">
        <f aca="false">IF(Payments!F6="","",Payments!F6)</f>
        <v/>
      </c>
      <c r="E71" s="34" t="str">
        <f aca="false">IF(Payments!I6="","",Payments!I6)</f>
        <v/>
      </c>
    </row>
    <row r="72" customFormat="false" ht="15" hidden="false" customHeight="false" outlineLevel="0" collapsed="false">
      <c r="B72" s="42" t="str">
        <f aca="false">IF(Payments!H7="","",Payments!H7)</f>
        <v/>
      </c>
      <c r="C72" s="40" t="str">
        <f aca="false">IF(Payments!B7="","",Payments!B7&amp;" - "&amp;Payments!C7)</f>
        <v/>
      </c>
      <c r="D72" s="44" t="str">
        <f aca="false">IF(Payments!F7="","",Payments!F7)</f>
        <v/>
      </c>
      <c r="E72" s="37" t="str">
        <f aca="false">IF(Payments!I7="","",Payments!I7)</f>
        <v/>
      </c>
    </row>
    <row r="73" customFormat="false" ht="15" hidden="false" customHeight="false" outlineLevel="0" collapsed="false">
      <c r="B73" s="33" t="str">
        <f aca="false">IF(Payments!H8="","",Payments!H8)</f>
        <v/>
      </c>
      <c r="C73" s="39" t="str">
        <f aca="false">IF(Payments!B8="","",Payments!B8&amp;" - "&amp;Payments!C8)</f>
        <v/>
      </c>
      <c r="D73" s="43" t="str">
        <f aca="false">IF(Payments!F8="","",Payments!F8)</f>
        <v/>
      </c>
      <c r="E73" s="34" t="str">
        <f aca="false">IF(Payments!I8="","",Payments!I8)</f>
        <v/>
      </c>
    </row>
    <row r="74" customFormat="false" ht="15" hidden="false" customHeight="false" outlineLevel="0" collapsed="false">
      <c r="B74" s="42" t="str">
        <f aca="false">IF(Payments!H9="","",Payments!H9)</f>
        <v/>
      </c>
      <c r="C74" s="40" t="str">
        <f aca="false">IF(Payments!B9="","",Payments!B9&amp;" - "&amp;Payments!C9)</f>
        <v/>
      </c>
      <c r="D74" s="44" t="str">
        <f aca="false">IF(Payments!F9="","",Payments!F9)</f>
        <v/>
      </c>
      <c r="E74" s="37" t="str">
        <f aca="false">IF(Payments!I9="","",Payments!I9)</f>
        <v/>
      </c>
    </row>
    <row r="75" customFormat="false" ht="15" hidden="false" customHeight="false" outlineLevel="0" collapsed="false">
      <c r="B75" s="33" t="str">
        <f aca="false">IF(Payments!H10="","",Payments!H10)</f>
        <v/>
      </c>
      <c r="C75" s="39" t="str">
        <f aca="false">IF(Payments!B10="","",Payments!B10&amp;" - "&amp;Payments!C10)</f>
        <v/>
      </c>
      <c r="D75" s="43" t="str">
        <f aca="false">IF(Payments!F10="","",Payments!F10)</f>
        <v/>
      </c>
      <c r="E75" s="34" t="str">
        <f aca="false">IF(Payments!I10="","",Payments!I10)</f>
        <v/>
      </c>
    </row>
    <row r="76" customFormat="false" ht="15" hidden="false" customHeight="false" outlineLevel="0" collapsed="false">
      <c r="B76" s="42" t="str">
        <f aca="false">IF(Payments!H11="","",Payments!H11)</f>
        <v/>
      </c>
      <c r="C76" s="40" t="str">
        <f aca="false">IF(Payments!B11="","",Payments!B11&amp;" - "&amp;Payments!C11)</f>
        <v/>
      </c>
      <c r="D76" s="44" t="str">
        <f aca="false">IF(Payments!F11="","",Payments!F11)</f>
        <v/>
      </c>
      <c r="E76" s="37" t="str">
        <f aca="false">IF(Payments!I11="","",Payments!I11)</f>
        <v/>
      </c>
    </row>
    <row r="77" customFormat="false" ht="15" hidden="false" customHeight="false" outlineLevel="0" collapsed="false">
      <c r="B77" s="33" t="str">
        <f aca="false">IF(Payments!H12="","",Payments!H12)</f>
        <v/>
      </c>
      <c r="C77" s="39" t="str">
        <f aca="false">IF(Payments!B12="","",Payments!B12&amp;" - "&amp;Payments!C12)</f>
        <v/>
      </c>
      <c r="D77" s="43" t="str">
        <f aca="false">IF(Payments!F12="","",Payments!F12)</f>
        <v/>
      </c>
      <c r="E77" s="34" t="str">
        <f aca="false">IF(Payments!I12="","",Payments!I12)</f>
        <v/>
      </c>
    </row>
    <row r="78" customFormat="false" ht="15" hidden="false" customHeight="false" outlineLevel="0" collapsed="false">
      <c r="B78" s="42" t="str">
        <f aca="false">IF(Payments!H13="","",Payments!H13)</f>
        <v/>
      </c>
      <c r="C78" s="40" t="str">
        <f aca="false">IF(Payments!B13="","",Payments!B13&amp;" - "&amp;Payments!C13)</f>
        <v/>
      </c>
      <c r="D78" s="44" t="str">
        <f aca="false">IF(Payments!F13="","",Payments!F13)</f>
        <v/>
      </c>
      <c r="E78" s="37" t="str">
        <f aca="false">IF(Payments!I13="","",Payments!I13)</f>
        <v/>
      </c>
    </row>
    <row r="79" customFormat="false" ht="15" hidden="false" customHeight="false" outlineLevel="0" collapsed="false">
      <c r="B79" s="33" t="str">
        <f aca="false">IF(Payments!H14="","",Payments!H14)</f>
        <v/>
      </c>
      <c r="C79" s="39" t="str">
        <f aca="false">IF(Payments!B14="","",Payments!B14&amp;" - "&amp;Payments!C14)</f>
        <v/>
      </c>
      <c r="D79" s="43" t="str">
        <f aca="false">IF(Payments!F14="","",Payments!F14)</f>
        <v/>
      </c>
      <c r="E79" s="34" t="str">
        <f aca="false">IF(Payments!I14="","",Payments!I14)</f>
        <v/>
      </c>
    </row>
    <row r="80" customFormat="false" ht="15" hidden="false" customHeight="false" outlineLevel="0" collapsed="false">
      <c r="B80" s="42" t="str">
        <f aca="false">IF(Payments!H15="","",Payments!H15)</f>
        <v/>
      </c>
      <c r="C80" s="40" t="str">
        <f aca="false">IF(Payments!B15="","",Payments!B15&amp;" - "&amp;Payments!C15)</f>
        <v/>
      </c>
      <c r="D80" s="44" t="str">
        <f aca="false">IF(Payments!F15="","",Payments!F15)</f>
        <v/>
      </c>
      <c r="E80" s="37" t="str">
        <f aca="false">IF(Payments!I15="","",Payments!I15)</f>
        <v/>
      </c>
    </row>
    <row r="81" customFormat="false" ht="15" hidden="false" customHeight="false" outlineLevel="0" collapsed="false">
      <c r="B81" s="33" t="str">
        <f aca="false">IF(Payments!H16="","",Payments!H16)</f>
        <v/>
      </c>
      <c r="C81" s="39" t="str">
        <f aca="false">IF(Payments!B16="","",Payments!B16&amp;" - "&amp;Payments!C16)</f>
        <v/>
      </c>
      <c r="D81" s="43" t="str">
        <f aca="false">IF(Payments!F16="","",Payments!F16)</f>
        <v/>
      </c>
      <c r="E81" s="34" t="str">
        <f aca="false">IF(Payments!I16="","",Payments!I16)</f>
        <v/>
      </c>
    </row>
    <row r="82" customFormat="false" ht="15" hidden="false" customHeight="false" outlineLevel="0" collapsed="false">
      <c r="B82" s="42" t="str">
        <f aca="false">IF(Payments!H17="","",Payments!H17)</f>
        <v/>
      </c>
      <c r="C82" s="40" t="str">
        <f aca="false">IF(Payments!B17="","",Payments!B17&amp;" - "&amp;Payments!C17)</f>
        <v/>
      </c>
      <c r="D82" s="44" t="str">
        <f aca="false">IF(Payments!F17="","",Payments!F17)</f>
        <v/>
      </c>
      <c r="E82" s="37" t="str">
        <f aca="false">IF(Payments!I17="","",Payments!I17)</f>
        <v/>
      </c>
    </row>
    <row r="83" customFormat="false" ht="15" hidden="false" customHeight="false" outlineLevel="0" collapsed="false">
      <c r="B83" s="33" t="str">
        <f aca="false">IF(Payments!H18="","",Payments!H18)</f>
        <v/>
      </c>
      <c r="C83" s="39" t="str">
        <f aca="false">IF(Payments!B18="","",Payments!B18&amp;" - "&amp;Payments!C18)</f>
        <v/>
      </c>
      <c r="D83" s="43" t="str">
        <f aca="false">IF(Payments!F18="","",Payments!F18)</f>
        <v/>
      </c>
      <c r="E83" s="34" t="str">
        <f aca="false">IF(Payments!I18="","",Payments!I18)</f>
        <v/>
      </c>
    </row>
    <row r="84" customFormat="false" ht="15" hidden="false" customHeight="false" outlineLevel="0" collapsed="false">
      <c r="B84" s="42" t="str">
        <f aca="false">IF(Payments!H19="","",Payments!H19)</f>
        <v/>
      </c>
      <c r="C84" s="40" t="str">
        <f aca="false">IF(Payments!B19="","",Payments!B19&amp;" - "&amp;Payments!C19)</f>
        <v/>
      </c>
      <c r="D84" s="44" t="str">
        <f aca="false">IF(Payments!F19="","",Payments!F19)</f>
        <v/>
      </c>
      <c r="E84" s="37" t="str">
        <f aca="false">IF(Payments!I19="","",Payments!I19)</f>
        <v/>
      </c>
    </row>
    <row r="85" customFormat="false" ht="15" hidden="false" customHeight="false" outlineLevel="0" collapsed="false">
      <c r="B85" s="33" t="str">
        <f aca="false">IF(Payments!H20="","",Payments!H20)</f>
        <v/>
      </c>
      <c r="C85" s="39" t="str">
        <f aca="false">IF(Payments!B20="","",Payments!B20&amp;" - "&amp;Payments!C20)</f>
        <v/>
      </c>
      <c r="D85" s="43" t="str">
        <f aca="false">IF(Payments!F20="","",Payments!F20)</f>
        <v/>
      </c>
      <c r="E85" s="34" t="str">
        <f aca="false">IF(Payments!I20="","",Payments!I20)</f>
        <v/>
      </c>
    </row>
    <row r="86" customFormat="false" ht="15" hidden="false" customHeight="false" outlineLevel="0" collapsed="false">
      <c r="B86" s="42" t="str">
        <f aca="false">IF(Payments!H21="","",Payments!H21)</f>
        <v/>
      </c>
      <c r="C86" s="40" t="str">
        <f aca="false">IF(Payments!B21="","",Payments!B21&amp;" - "&amp;Payments!C21)</f>
        <v/>
      </c>
      <c r="D86" s="44" t="str">
        <f aca="false">IF(Payments!F21="","",Payments!F21)</f>
        <v/>
      </c>
      <c r="E86" s="37" t="str">
        <f aca="false">IF(Payments!I21="","",Payments!I21)</f>
        <v/>
      </c>
    </row>
    <row r="87" customFormat="false" ht="15" hidden="false" customHeight="false" outlineLevel="0" collapsed="false">
      <c r="B87" s="33" t="str">
        <f aca="false">IF(Payments!H22="","",Payments!H22)</f>
        <v/>
      </c>
      <c r="C87" s="39" t="str">
        <f aca="false">IF(Payments!B22="","",Payments!B22&amp;" - "&amp;Payments!C22)</f>
        <v/>
      </c>
      <c r="D87" s="43" t="str">
        <f aca="false">IF(Payments!F22="","",Payments!F22)</f>
        <v/>
      </c>
      <c r="E87" s="34" t="str">
        <f aca="false">IF(Payments!I22="","",Payments!I22)</f>
        <v/>
      </c>
    </row>
    <row r="88" customFormat="false" ht="15" hidden="false" customHeight="false" outlineLevel="0" collapsed="false">
      <c r="B88" s="42" t="str">
        <f aca="false">IF(Payments!H23="","",Payments!H23)</f>
        <v/>
      </c>
      <c r="C88" s="40" t="str">
        <f aca="false">IF(Payments!B23="","",Payments!B23&amp;" - "&amp;Payments!C23)</f>
        <v/>
      </c>
      <c r="D88" s="44" t="str">
        <f aca="false">IF(Payments!F23="","",Payments!F23)</f>
        <v/>
      </c>
      <c r="E88" s="37" t="str">
        <f aca="false">IF(Payments!I23="","",Payments!I23)</f>
        <v/>
      </c>
    </row>
    <row r="89" customFormat="false" ht="15" hidden="false" customHeight="false" outlineLevel="0" collapsed="false">
      <c r="B89" s="33" t="str">
        <f aca="false">IF(Payments!H24="","",Payments!H24)</f>
        <v/>
      </c>
      <c r="C89" s="39" t="str">
        <f aca="false">IF(Payments!B24="","",Payments!B24&amp;" - "&amp;Payments!C24)</f>
        <v/>
      </c>
      <c r="D89" s="43" t="str">
        <f aca="false">IF(Payments!F24="","",Payments!F24)</f>
        <v/>
      </c>
      <c r="E89" s="34" t="str">
        <f aca="false">IF(Payments!I24="","",Payments!I24)</f>
        <v/>
      </c>
    </row>
    <row r="90" customFormat="false" ht="15" hidden="false" customHeight="false" outlineLevel="0" collapsed="false">
      <c r="B90" s="42" t="str">
        <f aca="false">IF(Payments!H25="","",Payments!H25)</f>
        <v/>
      </c>
      <c r="C90" s="40" t="str">
        <f aca="false">IF(Payments!B25="","",Payments!B25&amp;" - "&amp;Payments!C25)</f>
        <v/>
      </c>
      <c r="D90" s="44" t="str">
        <f aca="false">IF(Payments!F25="","",Payments!F25)</f>
        <v/>
      </c>
      <c r="E90" s="37" t="str">
        <f aca="false">IF(Payments!I25="","",Payments!I25)</f>
        <v/>
      </c>
    </row>
    <row r="91" customFormat="false" ht="15" hidden="false" customHeight="false" outlineLevel="0" collapsed="false">
      <c r="B91" s="33" t="str">
        <f aca="false">IF(Payments!H26="","",Payments!H26)</f>
        <v/>
      </c>
      <c r="C91" s="39" t="str">
        <f aca="false">IF(Payments!B26="","",Payments!B26&amp;" - "&amp;Payments!C26)</f>
        <v/>
      </c>
      <c r="D91" s="43" t="str">
        <f aca="false">IF(Payments!F26="","",Payments!F26)</f>
        <v/>
      </c>
      <c r="E91" s="34" t="str">
        <f aca="false">IF(Payments!I26="","",Payments!I26)</f>
        <v/>
      </c>
    </row>
    <row r="92" customFormat="false" ht="15" hidden="false" customHeight="false" outlineLevel="0" collapsed="false">
      <c r="B92" s="42" t="str">
        <f aca="false">IF(Payments!H27="","",Payments!H27)</f>
        <v/>
      </c>
      <c r="C92" s="40" t="str">
        <f aca="false">IF(Payments!B27="","",Payments!B27&amp;" - "&amp;Payments!C27)</f>
        <v/>
      </c>
      <c r="D92" s="44" t="str">
        <f aca="false">IF(Payments!F27="","",Payments!F27)</f>
        <v/>
      </c>
      <c r="E92" s="37" t="str">
        <f aca="false">IF(Payments!I27="","",Payments!I27)</f>
        <v/>
      </c>
    </row>
    <row r="93" customFormat="false" ht="15" hidden="false" customHeight="false" outlineLevel="0" collapsed="false">
      <c r="B93" s="33" t="str">
        <f aca="false">IF(Payments!H28="","",Payments!H28)</f>
        <v/>
      </c>
      <c r="C93" s="39" t="str">
        <f aca="false">IF(Payments!B28="","",Payments!B28&amp;" - "&amp;Payments!C28)</f>
        <v/>
      </c>
      <c r="D93" s="43" t="str">
        <f aca="false">IF(Payments!F28="","",Payments!F28)</f>
        <v/>
      </c>
      <c r="E93" s="34" t="str">
        <f aca="false">IF(Payments!I28="","",Payments!I28)</f>
        <v/>
      </c>
    </row>
    <row r="94" customFormat="false" ht="15" hidden="false" customHeight="false" outlineLevel="0" collapsed="false">
      <c r="B94" s="42" t="str">
        <f aca="false">IF(Payments!H29="","",Payments!H29)</f>
        <v/>
      </c>
      <c r="C94" s="40" t="str">
        <f aca="false">IF(Payments!B29="","",Payments!B29&amp;" - "&amp;Payments!C29)</f>
        <v/>
      </c>
      <c r="D94" s="44" t="str">
        <f aca="false">IF(Payments!F29="","",Payments!F29)</f>
        <v/>
      </c>
      <c r="E94" s="37" t="str">
        <f aca="false">IF(Payments!I29="","",Payments!I29)</f>
        <v/>
      </c>
    </row>
  </sheetData>
  <mergeCells count="2">
    <mergeCell ref="B5:E5"/>
    <mergeCell ref="B69:E69"/>
  </mergeCells>
  <conditionalFormatting sqref="E7:E66">
    <cfRule type="expression" priority="2" aboveAverage="0" equalAverage="0" bottom="0" percent="0" rank="0" text="" dxfId="4">
      <formula>EXACT(TRIM(E7),"Completed")</formula>
    </cfRule>
    <cfRule type="expression" priority="3" aboveAverage="0" equalAverage="0" bottom="0" percent="0" rank="0" text="" dxfId="5">
      <formula>EXACT(TRIM(E7),"Overdue")</formula>
    </cfRule>
    <cfRule type="expression" priority="4" aboveAverage="0" equalAverage="0" bottom="0" percent="0" rank="0" text="" dxfId="6">
      <formula>EXACT(TRIM(E7),"In Progress")</formula>
    </cfRule>
  </conditionalFormatting>
  <conditionalFormatting sqref="B7:B66">
    <cfRule type="expression" priority="5" aboveAverage="0" equalAverage="0" bottom="0" percent="0" rank="0" text="" dxfId="5">
      <formula>AND(B7&lt;&gt;"",B7&lt;TODAY(),E7&lt;&gt;"Completed")</formula>
    </cfRule>
  </conditionalFormatting>
  <conditionalFormatting sqref="E71:E94">
    <cfRule type="expression" priority="6" aboveAverage="0" equalAverage="0" bottom="0" percent="0" rank="0" text="" dxfId="4">
      <formula>EXACT(TRIM(E71),"Paid in Full")</formula>
    </cfRule>
    <cfRule type="expression" priority="7" aboveAverage="0" equalAverage="0" bottom="0" percent="0" rank="0" text="" dxfId="5">
      <formula>EXACT(TRIM(E71),"Overdue")</formula>
    </cfRule>
    <cfRule type="expression" priority="8" aboveAverage="0" equalAverage="0" bottom="0" percent="0" rank="0" text="" dxfId="6">
      <formula>EXACT(TRIM(E71),"Deposit Paid")</formula>
    </cfRule>
  </conditionalFormatting>
  <hyperlinks>
    <hyperlink ref="B1" r:id="rId1" location="'Dashboard'!A1" display="‹ Dashboard"/>
    <hyperlink ref="C1" r:id="rId2" location="'START%20HERE'!A1" display="‹ Start Here"/>
  </hyperlink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30"/>
  </cols>
  <sheetData>
    <row r="1" customFormat="false" ht="7.5" hidden="false" customHeight="true" outlineLevel="0" collapsed="false">
      <c r="A1" s="9"/>
      <c r="B1" s="9"/>
      <c r="C1" s="9"/>
      <c r="D1" s="9"/>
      <c r="E1" s="9"/>
      <c r="F1" s="9"/>
    </row>
    <row r="2" customFormat="false" ht="30" hidden="false" customHeight="true" outlineLevel="0" collapsed="false">
      <c r="A2" s="9"/>
      <c r="B2" s="27" t="s">
        <v>212</v>
      </c>
      <c r="C2" s="9"/>
      <c r="D2" s="9"/>
      <c r="E2" s="9"/>
      <c r="F2" s="9"/>
    </row>
    <row r="3" customFormat="false" ht="19.5" hidden="false" customHeight="true" outlineLevel="0" collapsed="false">
      <c r="A3" s="15"/>
      <c r="B3" s="28" t="s">
        <v>213</v>
      </c>
      <c r="C3" s="15"/>
      <c r="D3" s="15"/>
      <c r="E3" s="15"/>
      <c r="F3" s="15"/>
    </row>
    <row r="6" customFormat="false" ht="15" hidden="false" customHeight="false" outlineLevel="0" collapsed="false">
      <c r="B6" s="45" t="s">
        <v>214</v>
      </c>
      <c r="C6" s="46"/>
    </row>
    <row r="7" customFormat="false" ht="15" hidden="false" customHeight="false" outlineLevel="0" collapsed="false">
      <c r="B7" s="45" t="s">
        <v>215</v>
      </c>
      <c r="C7" s="46"/>
    </row>
    <row r="8" customFormat="false" ht="15" hidden="false" customHeight="false" outlineLevel="0" collapsed="false">
      <c r="B8" s="45" t="s">
        <v>216</v>
      </c>
      <c r="C8" s="47"/>
    </row>
    <row r="9" customFormat="false" ht="15" hidden="false" customHeight="false" outlineLevel="0" collapsed="false">
      <c r="B9" s="45" t="s">
        <v>217</v>
      </c>
      <c r="C9" s="46" t="s">
        <v>218</v>
      </c>
    </row>
    <row r="10" customFormat="false" ht="15" hidden="false" customHeight="false" outlineLevel="0" collapsed="false">
      <c r="B10" s="45" t="s">
        <v>219</v>
      </c>
      <c r="C10" s="46"/>
    </row>
    <row r="11" customFormat="false" ht="15" hidden="false" customHeight="false" outlineLevel="0" collapsed="false">
      <c r="B11" s="45" t="s">
        <v>220</v>
      </c>
      <c r="C11" s="46"/>
    </row>
    <row r="12" customFormat="false" ht="15" hidden="false" customHeight="false" outlineLevel="0" collapsed="false">
      <c r="B12" s="45" t="s">
        <v>221</v>
      </c>
      <c r="C12" s="48"/>
    </row>
    <row r="13" customFormat="false" ht="15" hidden="false" customHeight="false" outlineLevel="0" collapsed="false">
      <c r="B13" s="45" t="s">
        <v>222</v>
      </c>
      <c r="C13" s="46" t="n">
        <v>16</v>
      </c>
    </row>
    <row r="14" customFormat="false" ht="15" hidden="false" customHeight="false" outlineLevel="0" collapsed="false">
      <c r="B14" s="45" t="s">
        <v>223</v>
      </c>
      <c r="C14" s="46" t="n">
        <v>10</v>
      </c>
    </row>
    <row r="15" customFormat="false" ht="15" hidden="false" customHeight="false" outlineLevel="0" collapsed="false">
      <c r="B15" s="45" t="s">
        <v>32</v>
      </c>
      <c r="C15" s="48"/>
    </row>
    <row r="16" customFormat="false" ht="15" hidden="false" customHeight="false" outlineLevel="0" collapsed="false">
      <c r="B16" s="45" t="s">
        <v>224</v>
      </c>
      <c r="C16" s="47"/>
    </row>
    <row r="18" customFormat="false" ht="15" hidden="false" customHeight="false" outlineLevel="0" collapsed="false">
      <c r="B18" s="49" t="s">
        <v>225</v>
      </c>
      <c r="C18" s="49"/>
      <c r="D18" s="49"/>
      <c r="E18" s="49"/>
      <c r="F18" s="49"/>
    </row>
  </sheetData>
  <mergeCells count="1">
    <mergeCell ref="B18:F18"/>
  </mergeCell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F91"/>
    <pageSetUpPr fitToPage="false"/>
  </sheetPr>
  <dimension ref="A1:A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9" min="1" style="0" width="20"/>
  </cols>
  <sheetData>
    <row r="1" customFormat="false" ht="15" hidden="false" customHeight="false" outlineLevel="0" collapsed="false">
      <c r="A1" s="0" t="s">
        <v>226</v>
      </c>
      <c r="B1" s="0" t="s">
        <v>227</v>
      </c>
      <c r="C1" s="0" t="s">
        <v>228</v>
      </c>
      <c r="D1" s="0" t="s">
        <v>143</v>
      </c>
      <c r="E1" s="0" t="s">
        <v>229</v>
      </c>
      <c r="F1" s="0" t="s">
        <v>230</v>
      </c>
      <c r="G1" s="0" t="s">
        <v>231</v>
      </c>
      <c r="H1" s="0" t="s">
        <v>232</v>
      </c>
      <c r="I1" s="0" t="s">
        <v>107</v>
      </c>
      <c r="J1" s="0" t="s">
        <v>144</v>
      </c>
      <c r="K1" s="0" t="s">
        <v>233</v>
      </c>
      <c r="L1" s="0" t="s">
        <v>234</v>
      </c>
      <c r="M1" s="0" t="s">
        <v>235</v>
      </c>
      <c r="N1" s="0" t="s">
        <v>236</v>
      </c>
      <c r="O1" s="0" t="s">
        <v>237</v>
      </c>
      <c r="P1" s="0" t="s">
        <v>238</v>
      </c>
      <c r="Q1" s="0" t="s">
        <v>98</v>
      </c>
      <c r="R1" s="0" t="s">
        <v>239</v>
      </c>
      <c r="S1" s="0" t="s">
        <v>240</v>
      </c>
      <c r="W1" s="0" t="s">
        <v>241</v>
      </c>
      <c r="X1" s="0" t="s">
        <v>242</v>
      </c>
      <c r="AE1" s="0" t="s">
        <v>243</v>
      </c>
      <c r="AF1" s="0" t="s">
        <v>96</v>
      </c>
    </row>
    <row r="2" customFormat="false" ht="15" hidden="false" customHeight="false" outlineLevel="0" collapsed="false">
      <c r="A2" s="0" t="s">
        <v>244</v>
      </c>
      <c r="B2" s="0" t="s">
        <v>245</v>
      </c>
      <c r="C2" s="0" t="s">
        <v>245</v>
      </c>
      <c r="D2" s="0" t="s">
        <v>246</v>
      </c>
      <c r="E2" s="0" t="s">
        <v>247</v>
      </c>
      <c r="F2" s="0" t="s">
        <v>168</v>
      </c>
      <c r="G2" s="0" t="s">
        <v>248</v>
      </c>
      <c r="H2" s="0" t="s">
        <v>247</v>
      </c>
      <c r="I2" s="0" t="s">
        <v>249</v>
      </c>
      <c r="J2" s="0" t="s">
        <v>249</v>
      </c>
      <c r="K2" s="0" t="s">
        <v>250</v>
      </c>
      <c r="L2" s="0" t="s">
        <v>251</v>
      </c>
      <c r="M2" s="0" t="s">
        <v>252</v>
      </c>
      <c r="N2" s="0" t="s">
        <v>253</v>
      </c>
      <c r="O2" s="0" t="s">
        <v>254</v>
      </c>
      <c r="P2" s="0" t="s">
        <v>255</v>
      </c>
      <c r="Q2" s="0" t="n">
        <v>1</v>
      </c>
      <c r="R2" s="0" t="s">
        <v>251</v>
      </c>
      <c r="S2" s="0" t="s">
        <v>251</v>
      </c>
      <c r="W2" s="0" t="n">
        <f aca="false">SUMIF(Budget!$B$6:$B$35,Lists!F2,Budget!$F$6:$F$35)</f>
        <v>0</v>
      </c>
      <c r="X2" s="0" t="n">
        <f aca="false">SUMIF(Budget!$B$6:$B$35,Lists!F2,Budget!$G$6:$G$35)</f>
        <v>0</v>
      </c>
      <c r="Y2" s="0" t="s">
        <v>256</v>
      </c>
      <c r="Z2" s="50" t="n">
        <f aca="false">SUM(Budget!J6:J35)</f>
        <v>0</v>
      </c>
      <c r="AA2" s="0" t="str">
        <f aca="false">IFERROR(LARGE(Budget!$G$6:$G$35,1),"")</f>
        <v/>
      </c>
      <c r="AB2" s="0" t="str">
        <f aca="false">IFERROR(INDEX(Budget!$D$6:$D$35,MATCH(AA2,Budget!$G$6:$G$35,0)),"")</f>
        <v/>
      </c>
      <c r="AC2" s="0" t="n">
        <f aca="false">COUNTIF('Guest List'!$I$6:$I$65,Lists!A2)</f>
        <v>0</v>
      </c>
      <c r="AD2" s="0" t="n">
        <f aca="false">COUNTIF('Guest List'!$L$6:$L$65,Lists!G2)</f>
        <v>0</v>
      </c>
      <c r="AE2" s="0" t="n">
        <f aca="false">COUNTIFS('Master Checklist'!$B$6:$B$65,Lists!N2,'Master Checklist'!$H$6:$H$65,"Completed")</f>
        <v>0</v>
      </c>
      <c r="AF2" s="0" t="n">
        <f aca="false">COUNTIFS('Master Checklist'!$B$6:$B$65,Lists!N2)-AE2</f>
        <v>0</v>
      </c>
      <c r="AG2" s="0" t="s">
        <v>257</v>
      </c>
    </row>
    <row r="3" customFormat="false" ht="15" hidden="false" customHeight="false" outlineLevel="0" collapsed="false">
      <c r="A3" s="0" t="s">
        <v>258</v>
      </c>
      <c r="B3" s="0" t="s">
        <v>259</v>
      </c>
      <c r="C3" s="0" t="s">
        <v>260</v>
      </c>
      <c r="D3" s="0" t="s">
        <v>261</v>
      </c>
      <c r="E3" s="0" t="s">
        <v>262</v>
      </c>
      <c r="F3" s="0" t="s">
        <v>263</v>
      </c>
      <c r="G3" s="0" t="s">
        <v>264</v>
      </c>
      <c r="H3" s="0" t="s">
        <v>265</v>
      </c>
      <c r="I3" s="0" t="s">
        <v>266</v>
      </c>
      <c r="J3" s="0" t="s">
        <v>266</v>
      </c>
      <c r="K3" s="0" t="s">
        <v>267</v>
      </c>
      <c r="L3" s="0" t="s">
        <v>268</v>
      </c>
      <c r="M3" s="0" t="s">
        <v>269</v>
      </c>
      <c r="N3" s="0" t="s">
        <v>270</v>
      </c>
      <c r="O3" s="0" t="s">
        <v>271</v>
      </c>
      <c r="P3" s="0" t="s">
        <v>272</v>
      </c>
      <c r="Q3" s="0" t="n">
        <v>2</v>
      </c>
      <c r="R3" s="0" t="s">
        <v>268</v>
      </c>
      <c r="S3" s="0" t="s">
        <v>268</v>
      </c>
      <c r="W3" s="0" t="n">
        <f aca="false">SUMIF(Budget!$B$6:$B$35,Lists!F3,Budget!$F$6:$F$35)</f>
        <v>0</v>
      </c>
      <c r="X3" s="0" t="n">
        <f aca="false">SUMIF(Budget!$B$6:$B$35,Lists!F3,Budget!$G$6:$G$35)</f>
        <v>0</v>
      </c>
      <c r="Y3" s="0" t="s">
        <v>96</v>
      </c>
      <c r="Z3" s="50" t="n">
        <f aca="false">SUM(Budget!K6:K35)</f>
        <v>0</v>
      </c>
      <c r="AA3" s="0" t="str">
        <f aca="false">IFERROR(LARGE(Budget!$G$6:$G$35,2),"")</f>
        <v/>
      </c>
      <c r="AB3" s="0" t="str">
        <f aca="false">IFERROR(INDEX(Budget!$D$6:$D$35,MATCH(AA3,Budget!$G$6:$G$35,0)),"")</f>
        <v/>
      </c>
      <c r="AC3" s="0" t="n">
        <f aca="false">COUNTIF('Guest List'!$I$6:$I$65,Lists!A3)</f>
        <v>0</v>
      </c>
      <c r="AD3" s="0" t="n">
        <f aca="false">COUNTIF('Guest List'!$L$6:$L$65,Lists!G3)</f>
        <v>0</v>
      </c>
      <c r="AE3" s="0" t="n">
        <f aca="false">COUNTIFS('Master Checklist'!$B$6:$B$65,Lists!N3,'Master Checklist'!$H$6:$H$65,"Completed")</f>
        <v>0</v>
      </c>
      <c r="AF3" s="0" t="n">
        <f aca="false">COUNTIFS('Master Checklist'!$B$6:$B$65,Lists!N3)-AE3</f>
        <v>0</v>
      </c>
      <c r="AG3" s="0" t="s">
        <v>273</v>
      </c>
    </row>
    <row r="4" customFormat="false" ht="15" hidden="false" customHeight="false" outlineLevel="0" collapsed="false">
      <c r="A4" s="0" t="s">
        <v>274</v>
      </c>
      <c r="B4" s="0" t="s">
        <v>275</v>
      </c>
      <c r="C4" s="0" t="s">
        <v>243</v>
      </c>
      <c r="D4" s="0" t="s">
        <v>276</v>
      </c>
      <c r="E4" s="0" t="s">
        <v>277</v>
      </c>
      <c r="F4" s="0" t="s">
        <v>278</v>
      </c>
      <c r="G4" s="0" t="s">
        <v>279</v>
      </c>
      <c r="H4" s="0" t="s">
        <v>109</v>
      </c>
      <c r="I4" s="0" t="s">
        <v>280</v>
      </c>
      <c r="J4" s="0" t="s">
        <v>281</v>
      </c>
      <c r="K4" s="0" t="s">
        <v>282</v>
      </c>
      <c r="M4" s="0" t="s">
        <v>283</v>
      </c>
      <c r="N4" s="0" t="s">
        <v>284</v>
      </c>
      <c r="O4" s="0" t="s">
        <v>285</v>
      </c>
      <c r="P4" s="0" t="s">
        <v>286</v>
      </c>
      <c r="Q4" s="0" t="n">
        <v>3</v>
      </c>
      <c r="W4" s="0" t="n">
        <f aca="false">SUMIF(Budget!$B$6:$B$35,Lists!F4,Budget!$F$6:$F$35)</f>
        <v>0</v>
      </c>
      <c r="X4" s="0" t="n">
        <f aca="false">SUMIF(Budget!$B$6:$B$35,Lists!F4,Budget!$G$6:$G$35)</f>
        <v>0</v>
      </c>
      <c r="AA4" s="0" t="str">
        <f aca="false">IFERROR(LARGE(Budget!$G$6:$G$35,3),"")</f>
        <v/>
      </c>
      <c r="AB4" s="0" t="str">
        <f aca="false">IFERROR(INDEX(Budget!$D$6:$D$35,MATCH(AA4,Budget!$G$6:$G$35,0)),"")</f>
        <v/>
      </c>
      <c r="AC4" s="0" t="n">
        <f aca="false">COUNTIF('Guest List'!$I$6:$I$65,Lists!A4)</f>
        <v>0</v>
      </c>
      <c r="AD4" s="0" t="n">
        <f aca="false">COUNTIF('Guest List'!$L$6:$L$65,Lists!G4)</f>
        <v>0</v>
      </c>
      <c r="AE4" s="0" t="n">
        <f aca="false">COUNTIFS('Master Checklist'!$B$6:$B$65,Lists!N4,'Master Checklist'!$H$6:$H$65,"Completed")</f>
        <v>0</v>
      </c>
      <c r="AF4" s="0" t="n">
        <f aca="false">COUNTIFS('Master Checklist'!$B$6:$B$65,Lists!N4)-AE4</f>
        <v>0</v>
      </c>
      <c r="AG4" s="0" t="s">
        <v>287</v>
      </c>
    </row>
    <row r="5" customFormat="false" ht="15" hidden="false" customHeight="false" outlineLevel="0" collapsed="false">
      <c r="A5" s="0" t="s">
        <v>288</v>
      </c>
      <c r="B5" s="0" t="s">
        <v>289</v>
      </c>
      <c r="C5" s="0" t="s">
        <v>290</v>
      </c>
      <c r="E5" s="0" t="s">
        <v>291</v>
      </c>
      <c r="F5" s="0" t="s">
        <v>292</v>
      </c>
      <c r="G5" s="0" t="s">
        <v>293</v>
      </c>
      <c r="J5" s="0" t="s">
        <v>280</v>
      </c>
      <c r="K5" s="0" t="s">
        <v>294</v>
      </c>
      <c r="M5" s="0" t="s">
        <v>295</v>
      </c>
      <c r="N5" s="0" t="s">
        <v>296</v>
      </c>
      <c r="O5" s="0" t="s">
        <v>297</v>
      </c>
      <c r="P5" s="0" t="s">
        <v>298</v>
      </c>
      <c r="Q5" s="0" t="n">
        <v>4</v>
      </c>
      <c r="W5" s="0" t="n">
        <f aca="false">SUMIF(Budget!$B$6:$B$35,Lists!F5,Budget!$F$6:$F$35)</f>
        <v>0</v>
      </c>
      <c r="X5" s="0" t="n">
        <f aca="false">SUMIF(Budget!$B$6:$B$35,Lists!F5,Budget!$G$6:$G$35)</f>
        <v>0</v>
      </c>
      <c r="AA5" s="0" t="str">
        <f aca="false">IFERROR(LARGE(Budget!$G$6:$G$35,4),"")</f>
        <v/>
      </c>
      <c r="AB5" s="0" t="str">
        <f aca="false">IFERROR(INDEX(Budget!$D$6:$D$35,MATCH(AA5,Budget!$G$6:$G$35,0)),"")</f>
        <v/>
      </c>
      <c r="AC5" s="0" t="n">
        <f aca="false">COUNTIF('Guest List'!$I$6:$I$65,Lists!A5)</f>
        <v>0</v>
      </c>
      <c r="AD5" s="0" t="n">
        <f aca="false">COUNTIF('Guest List'!$L$6:$L$65,Lists!G5)</f>
        <v>0</v>
      </c>
      <c r="AE5" s="0" t="n">
        <f aca="false">COUNTIFS('Master Checklist'!$B$6:$B$65,Lists!N5,'Master Checklist'!$H$6:$H$65,"Completed")</f>
        <v>0</v>
      </c>
      <c r="AF5" s="0" t="n">
        <f aca="false">COUNTIFS('Master Checklist'!$B$6:$B$65,Lists!N5)-AE5</f>
        <v>0</v>
      </c>
      <c r="AG5" s="0" t="s">
        <v>299</v>
      </c>
    </row>
    <row r="6" customFormat="false" ht="15" hidden="false" customHeight="false" outlineLevel="0" collapsed="false">
      <c r="B6" s="0" t="s">
        <v>290</v>
      </c>
      <c r="F6" s="0" t="s">
        <v>165</v>
      </c>
      <c r="G6" s="0" t="s">
        <v>300</v>
      </c>
      <c r="J6" s="0" t="s">
        <v>301</v>
      </c>
      <c r="K6" s="0" t="s">
        <v>302</v>
      </c>
      <c r="M6" s="0" t="s">
        <v>303</v>
      </c>
      <c r="N6" s="0" t="s">
        <v>304</v>
      </c>
      <c r="O6" s="0" t="s">
        <v>305</v>
      </c>
      <c r="P6" s="0" t="s">
        <v>306</v>
      </c>
      <c r="Q6" s="0" t="n">
        <v>5</v>
      </c>
      <c r="W6" s="0" t="n">
        <f aca="false">SUMIF(Budget!$B$6:$B$35,Lists!F6,Budget!$F$6:$F$35)</f>
        <v>0</v>
      </c>
      <c r="X6" s="0" t="n">
        <f aca="false">SUMIF(Budget!$B$6:$B$35,Lists!F6,Budget!$G$6:$G$35)</f>
        <v>0</v>
      </c>
      <c r="AA6" s="0" t="str">
        <f aca="false">IFERROR(LARGE(Budget!$G$6:$G$35,5),"")</f>
        <v/>
      </c>
      <c r="AB6" s="0" t="str">
        <f aca="false">IFERROR(INDEX(Budget!$D$6:$D$35,MATCH(AA6,Budget!$G$6:$G$35,0)),"")</f>
        <v/>
      </c>
      <c r="AD6" s="0" t="n">
        <f aca="false">COUNTIF('Guest List'!$L$6:$L$65,Lists!G6)</f>
        <v>0</v>
      </c>
      <c r="AE6" s="0" t="n">
        <f aca="false">COUNTIFS('Master Checklist'!$B$6:$B$65,Lists!N6,'Master Checklist'!$H$6:$H$65,"Completed")</f>
        <v>0</v>
      </c>
      <c r="AF6" s="0" t="n">
        <f aca="false">COUNTIFS('Master Checklist'!$B$6:$B$65,Lists!N6)-AE6</f>
        <v>0</v>
      </c>
      <c r="AG6" s="0" t="s">
        <v>307</v>
      </c>
    </row>
    <row r="7" customFormat="false" ht="15" hidden="false" customHeight="false" outlineLevel="0" collapsed="false">
      <c r="F7" s="0" t="s">
        <v>308</v>
      </c>
      <c r="G7" s="0" t="s">
        <v>309</v>
      </c>
      <c r="N7" s="0" t="s">
        <v>310</v>
      </c>
      <c r="O7" s="0" t="s">
        <v>311</v>
      </c>
      <c r="P7" s="0" t="s">
        <v>312</v>
      </c>
      <c r="W7" s="0" t="n">
        <f aca="false">SUMIF(Budget!$B$6:$B$35,Lists!F7,Budget!$F$6:$F$35)</f>
        <v>0</v>
      </c>
      <c r="X7" s="0" t="n">
        <f aca="false">SUMIF(Budget!$B$6:$B$35,Lists!F7,Budget!$G$6:$G$35)</f>
        <v>0</v>
      </c>
      <c r="AD7" s="0" t="n">
        <f aca="false">COUNTIF('Guest List'!$L$6:$L$65,Lists!G7)</f>
        <v>0</v>
      </c>
      <c r="AE7" s="0" t="n">
        <f aca="false">COUNTIFS('Master Checklist'!$B$6:$B$65,Lists!N7,'Master Checklist'!$H$6:$H$65,"Completed")</f>
        <v>0</v>
      </c>
      <c r="AF7" s="0" t="n">
        <f aca="false">COUNTIFS('Master Checklist'!$B$6:$B$65,Lists!N7)-AE7</f>
        <v>0</v>
      </c>
      <c r="AG7" s="0" t="s">
        <v>310</v>
      </c>
    </row>
    <row r="8" customFormat="false" ht="15" hidden="false" customHeight="false" outlineLevel="0" collapsed="false">
      <c r="F8" s="0" t="s">
        <v>313</v>
      </c>
      <c r="N8" s="0" t="s">
        <v>314</v>
      </c>
      <c r="P8" s="0" t="s">
        <v>315</v>
      </c>
      <c r="W8" s="0" t="n">
        <f aca="false">SUMIF(Budget!$B$6:$B$35,Lists!F8,Budget!$F$6:$F$35)</f>
        <v>0</v>
      </c>
      <c r="X8" s="0" t="n">
        <f aca="false">SUMIF(Budget!$B$6:$B$35,Lists!F8,Budget!$G$6:$G$35)</f>
        <v>0</v>
      </c>
      <c r="AE8" s="0" t="n">
        <f aca="false">COUNTIFS('Master Checklist'!$B$6:$B$65,Lists!N8,'Master Checklist'!$H$6:$H$65,"Completed")</f>
        <v>0</v>
      </c>
      <c r="AF8" s="0" t="n">
        <f aca="false">COUNTIFS('Master Checklist'!$B$6:$B$65,Lists!N8)-AE8</f>
        <v>0</v>
      </c>
      <c r="AG8" s="0" t="s">
        <v>314</v>
      </c>
    </row>
    <row r="9" customFormat="false" ht="15" hidden="false" customHeight="false" outlineLevel="0" collapsed="false">
      <c r="F9" s="0" t="s">
        <v>316</v>
      </c>
      <c r="N9" s="0" t="s">
        <v>317</v>
      </c>
      <c r="P9" s="0" t="s">
        <v>318</v>
      </c>
      <c r="W9" s="0" t="n">
        <f aca="false">SUMIF(Budget!$B$6:$B$35,Lists!F9,Budget!$F$6:$F$35)</f>
        <v>0</v>
      </c>
      <c r="X9" s="0" t="n">
        <f aca="false">SUMIF(Budget!$B$6:$B$35,Lists!F9,Budget!$G$6:$G$35)</f>
        <v>0</v>
      </c>
      <c r="AE9" s="0" t="n">
        <f aca="false">COUNTIFS('Master Checklist'!$B$6:$B$65,Lists!N9,'Master Checklist'!$H$6:$H$65,"Completed")</f>
        <v>0</v>
      </c>
      <c r="AF9" s="0" t="n">
        <f aca="false">COUNTIFS('Master Checklist'!$B$6:$B$65,Lists!N9)-AE9</f>
        <v>0</v>
      </c>
      <c r="AG9" s="0" t="s">
        <v>317</v>
      </c>
    </row>
    <row r="10" customFormat="false" ht="15" hidden="false" customHeight="false" outlineLevel="0" collapsed="false">
      <c r="F10" s="0" t="s">
        <v>319</v>
      </c>
      <c r="N10" s="0" t="s">
        <v>320</v>
      </c>
      <c r="W10" s="0" t="n">
        <f aca="false">SUMIF(Budget!$B$6:$B$35,Lists!F10,Budget!$F$6:$F$35)</f>
        <v>0</v>
      </c>
      <c r="X10" s="0" t="n">
        <f aca="false">SUMIF(Budget!$B$6:$B$35,Lists!F10,Budget!$G$6:$G$35)</f>
        <v>0</v>
      </c>
      <c r="AE10" s="0" t="n">
        <f aca="false">COUNTIFS('Master Checklist'!$B$6:$B$65,Lists!N10,'Master Checklist'!$H$6:$H$65,"Completed")</f>
        <v>0</v>
      </c>
      <c r="AF10" s="0" t="n">
        <f aca="false">COUNTIFS('Master Checklist'!$B$6:$B$65,Lists!N10)-AE10</f>
        <v>0</v>
      </c>
      <c r="AG10" s="0" t="s">
        <v>320</v>
      </c>
    </row>
    <row r="11" customFormat="false" ht="15" hidden="false" customHeight="false" outlineLevel="0" collapsed="false">
      <c r="F11" s="0" t="s">
        <v>321</v>
      </c>
      <c r="W11" s="0" t="n">
        <f aca="false">SUMIF(Budget!$B$6:$B$35,Lists!F11,Budget!$F$6:$F$35)</f>
        <v>0</v>
      </c>
      <c r="X11" s="0" t="n">
        <f aca="false">SUMIF(Budget!$B$6:$B$35,Lists!F11,Budget!$G$6:$G$35)</f>
        <v>0</v>
      </c>
    </row>
    <row r="12" customFormat="false" ht="15" hidden="false" customHeight="false" outlineLevel="0" collapsed="false">
      <c r="F12" s="0" t="s">
        <v>286</v>
      </c>
      <c r="W12" s="0" t="n">
        <f aca="false">SUMIF(Budget!$B$6:$B$35,Lists!F12,Budget!$F$6:$F$35)</f>
        <v>0</v>
      </c>
      <c r="X12" s="0" t="n">
        <f aca="false">SUMIF(Budget!$B$6:$B$35,Lists!F12,Budget!$G$6:$G$35)</f>
        <v>0</v>
      </c>
    </row>
    <row r="13" customFormat="false" ht="15" hidden="false" customHeight="false" outlineLevel="0" collapsed="false">
      <c r="F13" s="0" t="s">
        <v>322</v>
      </c>
      <c r="W13" s="0" t="n">
        <f aca="false">SUMIF(Budget!$B$6:$B$35,Lists!F13,Budget!$F$6:$F$35)</f>
        <v>0</v>
      </c>
      <c r="X13" s="0" t="n">
        <f aca="false">SUMIF(Budget!$B$6:$B$35,Lists!F13,Budget!$G$6:$G$35)</f>
        <v>0</v>
      </c>
    </row>
    <row r="14" customFormat="false" ht="15" hidden="false" customHeight="false" outlineLevel="0" collapsed="false">
      <c r="F14" s="0" t="s">
        <v>323</v>
      </c>
      <c r="W14" s="0" t="n">
        <f aca="false">SUMIF(Budget!$B$6:$B$35,Lists!F14,Budget!$F$6:$F$35)</f>
        <v>0</v>
      </c>
      <c r="X14" s="0" t="n">
        <f aca="false">SUMIF(Budget!$B$6:$B$35,Lists!F14,Budget!$G$6:$G$35)</f>
        <v>0</v>
      </c>
    </row>
    <row r="15" customFormat="false" ht="15" hidden="false" customHeight="false" outlineLevel="0" collapsed="false">
      <c r="F15" s="0" t="s">
        <v>297</v>
      </c>
      <c r="W15" s="0" t="n">
        <f aca="false">SUMIF(Budget!$B$6:$B$35,Lists!F15,Budget!$F$6:$F$35)</f>
        <v>0</v>
      </c>
      <c r="X15" s="0" t="n">
        <f aca="false">SUMIF(Budget!$B$6:$B$35,Lists!F15,Budget!$G$6:$G$35)</f>
        <v>0</v>
      </c>
    </row>
    <row r="16" customFormat="false" ht="15" hidden="false" customHeight="false" outlineLevel="0" collapsed="false">
      <c r="F16" s="0" t="s">
        <v>324</v>
      </c>
      <c r="W16" s="0" t="n">
        <f aca="false">SUMIF(Budget!$B$6:$B$35,Lists!F16,Budget!$F$6:$F$35)</f>
        <v>0</v>
      </c>
      <c r="X16" s="0" t="n">
        <f aca="false">SUMIF(Budget!$B$6:$B$35,Lists!F16,Budget!$G$6:$G$35)</f>
        <v>0</v>
      </c>
    </row>
    <row r="17" customFormat="false" ht="15" hidden="false" customHeight="false" outlineLevel="0" collapsed="false">
      <c r="F17" s="0" t="s">
        <v>325</v>
      </c>
      <c r="W17" s="0" t="n">
        <f aca="false">SUMIF(Budget!$B$6:$B$35,Lists!F17,Budget!$F$6:$F$35)</f>
        <v>0</v>
      </c>
      <c r="X17" s="0" t="n">
        <f aca="false">SUMIF(Budget!$B$6:$B$35,Lists!F17,Budget!$G$6:$G$35)</f>
        <v>0</v>
      </c>
    </row>
    <row r="18" customFormat="false" ht="15" hidden="false" customHeight="false" outlineLevel="0" collapsed="false">
      <c r="F18" s="0" t="s">
        <v>175</v>
      </c>
      <c r="W18" s="0" t="n">
        <f aca="false">SUMIF(Budget!$B$6:$B$35,Lists!F18,Budget!$F$6:$F$35)</f>
        <v>0</v>
      </c>
      <c r="X18" s="0" t="n">
        <f aca="false">SUMIF(Budget!$B$6:$B$35,Lists!F18,Budget!$G$6:$G$35)</f>
        <v>0</v>
      </c>
    </row>
    <row r="19" customFormat="false" ht="15" hidden="false" customHeight="false" outlineLevel="0" collapsed="false">
      <c r="F19" s="0" t="s">
        <v>326</v>
      </c>
      <c r="W19" s="0" t="n">
        <f aca="false">SUMIF(Budget!$B$6:$B$35,Lists!F19,Budget!$F$6:$F$35)</f>
        <v>0</v>
      </c>
      <c r="X19" s="0" t="n">
        <f aca="false">SUMIF(Budget!$B$6:$B$35,Lists!F19,Budget!$G$6:$G$35)</f>
        <v>0</v>
      </c>
    </row>
    <row r="20" customFormat="false" ht="15" hidden="false" customHeight="false" outlineLevel="0" collapsed="false">
      <c r="F20" s="0" t="s">
        <v>327</v>
      </c>
      <c r="W20" s="0" t="n">
        <f aca="false">SUMIF(Budget!$B$6:$B$35,Lists!F20,Budget!$F$6:$F$35)</f>
        <v>0</v>
      </c>
      <c r="X20" s="0" t="n">
        <f aca="false">SUMIF(Budget!$B$6:$B$35,Lists!F20,Budget!$G$6:$G$35)</f>
        <v>0</v>
      </c>
    </row>
    <row r="21" customFormat="false" ht="15" hidden="false" customHeight="false" outlineLevel="0" collapsed="false">
      <c r="F21" s="0" t="s">
        <v>318</v>
      </c>
      <c r="W21" s="0" t="n">
        <f aca="false">SUMIF(Budget!$B$6:$B$35,Lists!F21,Budget!$F$6:$F$35)</f>
        <v>0</v>
      </c>
      <c r="X21" s="0" t="n">
        <f aca="false">SUMIF(Budget!$B$6:$B$35,Lists!F21,Budget!$G$6:$G$35)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2026-09-22T01:04:51Z</dcterms:created>
  <dc:creator>openpyxl</dc:creator>
  <dc:description/>
  <dc:language>en-US</dc:language>
  <cp:lastModifiedBy/>
  <dcterms:modified xsi:type="dcterms:W3CDTF">2026-09-22T01:04:59Z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