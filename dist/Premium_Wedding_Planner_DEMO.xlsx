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Budget" sheetId="3" state="visible" r:id="rId3"/>
    <sheet name="Vendors" sheetId="4" state="visible" r:id="rId4"/>
    <sheet name="Guest List" sheetId="5" state="visible" r:id="rId5"/>
    <sheet name="Seating Plan" sheetId="6" state="visible" r:id="rId6"/>
    <sheet name="Timeline" sheetId="7" state="visible" r:id="rId7"/>
    <sheet name="Master Checklist" sheetId="8" state="visible" r:id="rId8"/>
    <sheet name="Payments" sheetId="9" state="visible" r:id="rId9"/>
    <sheet name="Wedding Party" sheetId="10" state="visible" r:id="rId10"/>
    <sheet name="Venue Comparison" sheetId="11" state="visible" r:id="rId11"/>
    <sheet name="Food &amp; Drinks" sheetId="12" state="visible" r:id="rId12"/>
    <sheet name="Honeymoon Budget" sheetId="13" state="visible" r:id="rId13"/>
    <sheet name="Contacts" sheetId="14" state="visible" r:id="rId14"/>
    <sheet name="Gift Tracker" sheetId="15" state="visible" r:id="rId15"/>
    <sheet name="Calendar" sheetId="16" state="visible" r:id="rId16"/>
    <sheet name="Settings" sheetId="17" state="visible" r:id="rId17"/>
    <sheet name="Lists" sheetId="18" state="hidden" r:id="rId18"/>
  </sheets>
  <definedNames>
    <definedName name="Partner1Name">Settings!$C$6</definedName>
    <definedName name="Partner2Name">Settings!$C$7</definedName>
    <definedName name="WeddingDate">Settings!$C$8</definedName>
    <definedName name="CurrencySymbol">Settings!$C$9</definedName>
    <definedName name="TotalBudget">Settings!$C$12</definedName>
    <definedName name="GuestTarget">Settings!$C$11</definedName>
    <definedName name="TableCount">Settings!$C$13</definedName>
    <definedName name="SeatsPerTable">Settings!$C$14</definedName>
    <definedName name="HoneymoonBudgetSetting">Settings!$C$15</definedName>
    <definedName name="RSVPDeadline">Settings!$C$16</definedName>
    <definedName name="_xlnm.Print_Area" localSheetId="0">'START HERE'!$A$1:$H$31</definedName>
    <definedName name="_xlnm.Print_Area" localSheetId="1">'Dashboard'!$A$1:$U$107</definedName>
    <definedName name="_xlnm.Print_Titles" localSheetId="2">'Budget'!$5:$5</definedName>
    <definedName name="_xlnm.Print_Area" localSheetId="2">'Budget'!$A$1:$N$35</definedName>
    <definedName name="_xlnm.Print_Titles" localSheetId="3">'Vendors'!$5:$5</definedName>
    <definedName name="_xlnm.Print_Area" localSheetId="3">'Vendors'!$A$1:$P$31</definedName>
    <definedName name="_xlnm.Print_Titles" localSheetId="4">'Guest List'!$5:$5</definedName>
    <definedName name="_xlnm.Print_Area" localSheetId="4">'Guest List'!$A$1:$P$65</definedName>
    <definedName name="_xlnm.Print_Titles" localSheetId="5">'Seating Plan'!$20:$20</definedName>
    <definedName name="_xlnm.Print_Area" localSheetId="5">'Seating Plan'!$A$1:$K$80</definedName>
    <definedName name="_xlnm.Print_Titles" localSheetId="6">'Timeline'!$5:$5</definedName>
    <definedName name="_xlnm.Print_Area" localSheetId="6">'Timeline'!$A$1:$G$21</definedName>
    <definedName name="_xlnm.Print_Titles" localSheetId="7">'Master Checklist'!$5:$5</definedName>
    <definedName name="_xlnm.Print_Area" localSheetId="7">'Master Checklist'!$A$1:$I$65</definedName>
    <definedName name="_xlnm.Print_Titles" localSheetId="8">'Payments'!$5:$5</definedName>
    <definedName name="_xlnm.Print_Area" localSheetId="8">'Payments'!$A$1:$K$29</definedName>
    <definedName name="_xlnm.Print_Titles" localSheetId="9">'Wedding Party'!$5:$5</definedName>
    <definedName name="_xlnm.Print_Area" localSheetId="9">'Wedding Party'!$A$1:$I$17</definedName>
    <definedName name="_xlnm.Print_Titles" localSheetId="10">'Venue Comparison'!$5:$5</definedName>
    <definedName name="_xlnm.Print_Area" localSheetId="10">'Venue Comparison'!$A$1:$N$15</definedName>
    <definedName name="_xlnm.Print_Titles" localSheetId="11">'Food &amp; Drinks'!$5:$5</definedName>
    <definedName name="_xlnm.Print_Area" localSheetId="11">'Food &amp; Drinks'!$A$1:$I$29</definedName>
    <definedName name="_xlnm.Print_Titles" localSheetId="12">'Honeymoon Budget'!$5:$5</definedName>
    <definedName name="_xlnm.Print_Area" localSheetId="12">'Honeymoon Budget'!$A$1:$I$15</definedName>
    <definedName name="_xlnm.Print_Titles" localSheetId="13">'Contacts'!$5:$5</definedName>
    <definedName name="_xlnm.Print_Area" localSheetId="13">'Contacts'!$A$1:$J$25</definedName>
    <definedName name="_xlnm.Print_Titles" localSheetId="14">'Gift Tracker'!$5:$5</definedName>
    <definedName name="_xlnm.Print_Area" localSheetId="14">'Gift Tracker'!$A$1:$H$33</definedName>
    <definedName name="_xlnm.Print_Titles" localSheetId="15">'Calendar'!$6:$6</definedName>
    <definedName name="_xlnm.Print_Area" localSheetId="15">'Calendar'!$A$1:$E$94</definedName>
    <definedName name="_xlnm.Print_Area" localSheetId="16">'Settings'!$A$1:$F$18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[RED]-$#,##0"/>
    <numFmt numFmtId="165" formatCode="d mmm yyyy"/>
    <numFmt numFmtId="166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333333"/>
      <sz val="18"/>
    </font>
    <font>
      <name val="Calibri"/>
      <i val="1"/>
      <color rgb="00715B52"/>
      <sz val="10.5"/>
    </font>
    <font>
      <name val="Calibri"/>
      <b val="1"/>
      <color rgb="009D646B"/>
      <sz val="12.5"/>
    </font>
    <font>
      <name val="Calibri"/>
      <color rgb="00333333"/>
      <sz val="10.5"/>
    </font>
    <font>
      <name val="Calibri"/>
      <b val="1"/>
      <color rgb="00715B52"/>
      <sz val="9.5"/>
      <u val="single"/>
    </font>
    <font>
      <name val="Calibri"/>
      <b val="1"/>
      <color rgb="00FFFFFF"/>
      <sz val="10.5"/>
    </font>
    <font>
      <name val="Calibri"/>
      <b val="1"/>
      <color rgb="009D646B"/>
      <sz val="19"/>
    </font>
    <font>
      <name val="Calibri"/>
      <b val="1"/>
      <color rgb="00333333"/>
      <sz val="9"/>
    </font>
    <font>
      <name val="Calibri"/>
      <i val="1"/>
      <color rgb="00715B52"/>
      <sz val="9.5"/>
    </font>
    <font>
      <name val="Calibri"/>
      <b val="1"/>
      <color rgb="009D646B"/>
      <sz val="11"/>
    </font>
    <font>
      <name val="Calibri"/>
      <b val="1"/>
      <color rgb="00333333"/>
      <sz val="26"/>
    </font>
    <font>
      <name val="Calibri"/>
      <i val="1"/>
      <color rgb="00715B52"/>
      <sz val="13"/>
    </font>
    <font>
      <name val="Calibri"/>
      <b val="1"/>
      <color rgb="009D646B"/>
      <sz val="17"/>
    </font>
    <font>
      <name val="Calibri"/>
      <b val="1"/>
      <color rgb="00C98F91"/>
      <sz val="19"/>
    </font>
    <font>
      <name val="Calibri"/>
      <b val="1"/>
      <color rgb="00A8B5A0"/>
      <sz val="19"/>
    </font>
    <font>
      <name val="Calibri"/>
      <b val="1"/>
      <color rgb="00B89B5E"/>
      <sz val="19"/>
    </font>
  </fonts>
  <fills count="7">
    <fill>
      <patternFill/>
    </fill>
    <fill>
      <patternFill patternType="gray125"/>
    </fill>
    <fill>
      <patternFill patternType="solid">
        <fgColor rgb="00E3E9DF"/>
      </patternFill>
    </fill>
    <fill>
      <patternFill patternType="solid">
        <fgColor rgb="00F5E4E1"/>
      </patternFill>
    </fill>
    <fill>
      <patternFill patternType="solid">
        <fgColor rgb="009D646B"/>
      </patternFill>
    </fill>
    <fill>
      <patternFill patternType="solid">
        <fgColor rgb="00FFFDF9"/>
      </patternFill>
    </fill>
    <fill>
      <patternFill patternType="solid">
        <fgColor rgb="00FBF5F0"/>
      </patternFill>
    </fill>
  </fills>
  <borders count="39">
    <border>
      <left/>
      <right/>
      <top/>
      <bottom/>
      <diagonal/>
    </border>
    <border/>
    <border>
      <bottom style="medium">
        <color rgb="00B89B5E"/>
      </bottom>
    </border>
    <border>
      <left style="thin">
        <color rgb="00E6DDD3"/>
      </left>
      <right style="thin">
        <color rgb="00E6DDD3"/>
      </right>
      <top style="thin">
        <color rgb="00E6DDD3"/>
      </top>
      <bottom style="thin">
        <color rgb="00E6DDD3"/>
      </bottom>
    </border>
    <border>
      <left style="thin">
        <color rgb="00B89B5E"/>
      </left>
      <right style="thin">
        <color rgb="00B89B5E"/>
      </right>
      <top style="thin">
        <color rgb="00B89B5E"/>
      </top>
      <bottom style="thin">
        <color rgb="00B89B5E"/>
      </bottom>
    </border>
    <border>
      <left style="thin">
        <color rgb="00B89B5E"/>
      </left>
      <top style="medium">
        <color rgb="009D646B"/>
      </top>
    </border>
    <border>
      <top style="medium">
        <color rgb="009D646B"/>
      </top>
    </border>
    <border>
      <right style="thin">
        <color rgb="00B89B5E"/>
      </right>
      <top style="medium">
        <color rgb="009D646B"/>
      </top>
    </border>
    <border>
      <left style="thin">
        <color rgb="00B89B5E"/>
      </left>
      <right style="thin">
        <color rgb="00B89B5E"/>
      </right>
      <top style="medium">
        <color rgb="009D646B"/>
      </top>
      <bottom style="thin">
        <color rgb="00B89B5E"/>
      </bottom>
    </border>
    <border>
      <left/>
      <right/>
      <top style="medium">
        <color rgb="009D646B"/>
      </top>
      <bottom/>
      <diagonal/>
    </border>
    <border>
      <left style="thin">
        <color rgb="00B89B5E"/>
      </left>
      <right/>
      <top/>
      <bottom/>
      <diagonal/>
    </border>
    <border>
      <left/>
      <right style="thin">
        <color rgb="00B89B5E"/>
      </right>
      <top style="medium">
        <color rgb="009D646B"/>
      </top>
      <bottom/>
      <diagonal/>
    </border>
    <border>
      <left/>
      <right style="thin">
        <color rgb="00B89B5E"/>
      </right>
      <top/>
      <bottom/>
      <diagonal/>
    </border>
    <border>
      <left style="thin">
        <color rgb="00B89B5E"/>
      </left>
      <right/>
      <top/>
      <bottom style="thin">
        <color rgb="00B89B5E"/>
      </bottom>
      <diagonal/>
    </border>
    <border>
      <left/>
      <right/>
      <top/>
      <bottom style="thin">
        <color rgb="00B89B5E"/>
      </bottom>
      <diagonal/>
    </border>
    <border>
      <left/>
      <right style="thin">
        <color rgb="00B89B5E"/>
      </right>
      <top/>
      <bottom style="thin">
        <color rgb="00B89B5E"/>
      </bottom>
      <diagonal/>
    </border>
    <border>
      <left/>
      <right/>
      <top style="thin">
        <color rgb="00B89B5E"/>
      </top>
      <bottom/>
      <diagonal/>
    </border>
    <border>
      <left/>
      <right style="thin">
        <color rgb="00B89B5E"/>
      </right>
      <top style="thin">
        <color rgb="00B89B5E"/>
      </top>
      <bottom/>
      <diagonal/>
    </border>
    <border>
      <left/>
      <right/>
      <top style="thin">
        <color rgb="00B89B5E"/>
      </top>
      <bottom style="thin">
        <color rgb="00B89B5E"/>
      </bottom>
      <diagonal/>
    </border>
    <border>
      <left/>
      <right style="thin">
        <color rgb="00B89B5E"/>
      </right>
      <top style="thin">
        <color rgb="00B89B5E"/>
      </top>
      <bottom style="thin">
        <color rgb="00B89B5E"/>
      </bottom>
      <diagonal/>
    </border>
    <border>
      <left style="thin">
        <color rgb="00B89B5E"/>
      </left>
    </border>
    <border>
      <left style="thin">
        <color rgb="00B89B5E"/>
      </left>
      <top style="medium">
        <color rgb="00C98F91"/>
      </top>
    </border>
    <border>
      <top style="medium">
        <color rgb="00C98F91"/>
      </top>
    </border>
    <border>
      <right style="thin">
        <color rgb="00B89B5E"/>
      </right>
      <top style="medium">
        <color rgb="00C98F91"/>
      </top>
    </border>
    <border>
      <left style="thin">
        <color rgb="00B89B5E"/>
      </left>
      <right style="thin">
        <color rgb="00B89B5E"/>
      </right>
      <top style="medium">
        <color rgb="00C98F91"/>
      </top>
      <bottom style="thin">
        <color rgb="00B89B5E"/>
      </bottom>
    </border>
    <border>
      <left/>
      <right/>
      <top style="medium">
        <color rgb="00C98F91"/>
      </top>
      <bottom/>
      <diagonal/>
    </border>
    <border>
      <left/>
      <right style="thin">
        <color rgb="00B89B5E"/>
      </right>
      <top style="medium">
        <color rgb="00C98F91"/>
      </top>
      <bottom/>
      <diagonal/>
    </border>
    <border>
      <left style="thin">
        <color rgb="00B89B5E"/>
      </left>
      <top style="medium">
        <color rgb="00A8B5A0"/>
      </top>
    </border>
    <border>
      <top style="medium">
        <color rgb="00A8B5A0"/>
      </top>
    </border>
    <border>
      <right style="thin">
        <color rgb="00B89B5E"/>
      </right>
      <top style="medium">
        <color rgb="00A8B5A0"/>
      </top>
    </border>
    <border>
      <left style="thin">
        <color rgb="00B89B5E"/>
      </left>
      <right style="thin">
        <color rgb="00B89B5E"/>
      </right>
      <top style="medium">
        <color rgb="00A8B5A0"/>
      </top>
      <bottom style="thin">
        <color rgb="00B89B5E"/>
      </bottom>
    </border>
    <border>
      <left/>
      <right/>
      <top style="medium">
        <color rgb="00A8B5A0"/>
      </top>
      <bottom/>
      <diagonal/>
    </border>
    <border>
      <left/>
      <right style="thin">
        <color rgb="00B89B5E"/>
      </right>
      <top style="medium">
        <color rgb="00A8B5A0"/>
      </top>
      <bottom/>
      <diagonal/>
    </border>
    <border>
      <left style="thin">
        <color rgb="00B89B5E"/>
      </left>
      <top style="medium">
        <color rgb="00B89B5E"/>
      </top>
    </border>
    <border>
      <top style="medium">
        <color rgb="00B89B5E"/>
      </top>
    </border>
    <border>
      <right style="thin">
        <color rgb="00B89B5E"/>
      </right>
      <top style="medium">
        <color rgb="00B89B5E"/>
      </top>
    </border>
    <border>
      <left style="thin">
        <color rgb="00B89B5E"/>
      </left>
      <right style="thin">
        <color rgb="00B89B5E"/>
      </right>
      <top style="medium">
        <color rgb="00B89B5E"/>
      </top>
      <bottom style="thin">
        <color rgb="00B89B5E"/>
      </bottom>
    </border>
    <border>
      <left/>
      <right/>
      <top style="medium">
        <color rgb="00B89B5E"/>
      </top>
      <bottom/>
      <diagonal/>
    </border>
    <border>
      <left/>
      <right style="thin">
        <color rgb="00B89B5E"/>
      </right>
      <top style="medium">
        <color rgb="00B89B5E"/>
      </top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2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10" fillId="3" borderId="0" pivotButton="0" quotePrefix="0" xfId="0"/>
    <xf numFmtId="0" fontId="13" fillId="3" borderId="20" applyAlignment="1" pivotButton="0" quotePrefix="0" xfId="0">
      <alignment horizontal="center" vertical="center" wrapText="1"/>
    </xf>
    <xf numFmtId="0" fontId="11" fillId="3" borderId="0" pivotButton="0" quotePrefix="0" xfId="0"/>
    <xf numFmtId="0" fontId="0" fillId="0" borderId="20" pivotButton="0" quotePrefix="0" xfId="0"/>
    <xf numFmtId="0" fontId="12" fillId="3" borderId="0" pivotButton="0" quotePrefix="0" xfId="0"/>
    <xf numFmtId="0" fontId="0" fillId="3" borderId="2" pivotButton="0" quotePrefix="0" xfId="0"/>
    <xf numFmtId="0" fontId="0" fillId="0" borderId="2" pivotButton="0" quotePrefix="0" xfId="0"/>
    <xf numFmtId="164" fontId="7" fillId="5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1" pivotButton="0" quotePrefix="0" xfId="0"/>
    <xf numFmtId="164" fontId="14" fillId="5" borderId="2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164" fontId="15" fillId="5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164" fontId="16" fillId="5" borderId="36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5" borderId="4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3" fontId="7" fillId="5" borderId="8" applyAlignment="1" pivotButton="0" quotePrefix="0" xfId="0">
      <alignment horizontal="center" vertical="center"/>
    </xf>
    <xf numFmtId="3" fontId="15" fillId="5" borderId="30" applyAlignment="1" pivotButton="0" quotePrefix="0" xfId="0">
      <alignment horizontal="center" vertical="center"/>
    </xf>
    <xf numFmtId="3" fontId="16" fillId="5" borderId="36" applyAlignment="1" pivotButton="0" quotePrefix="0" xfId="0">
      <alignment horizontal="center" vertical="center"/>
    </xf>
    <xf numFmtId="3" fontId="14" fillId="5" borderId="24" applyAlignment="1" pivotButton="0" quotePrefix="0" xfId="0">
      <alignment horizontal="center" vertical="center"/>
    </xf>
    <xf numFmtId="166" fontId="15" fillId="5" borderId="3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 wrapText="1"/>
    </xf>
    <xf numFmtId="164" fontId="4" fillId="0" borderId="3" applyAlignment="1" pivotButton="0" quotePrefix="0" xfId="0">
      <alignment horizontal="right" vertical="center"/>
    </xf>
    <xf numFmtId="165" fontId="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166" fontId="7" fillId="5" borderId="8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3" fontId="4" fillId="0" borderId="3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3" fontId="4" fillId="6" borderId="3" applyAlignment="1" pivotButton="0" quotePrefix="0" xfId="0">
      <alignment horizontal="center" vertical="center"/>
    </xf>
    <xf numFmtId="0" fontId="4" fillId="0" borderId="3" pivotButton="0" quotePrefix="0" xfId="0"/>
    <xf numFmtId="0" fontId="4" fillId="6" borderId="3" pivotButton="0" quotePrefix="0" xfId="0"/>
    <xf numFmtId="18" fontId="4" fillId="0" borderId="3" applyAlignment="1" pivotButton="0" quotePrefix="0" xfId="0">
      <alignment horizontal="center" vertical="center"/>
    </xf>
    <xf numFmtId="3" fontId="4" fillId="0" borderId="3" applyAlignment="1" pivotButton="0" quotePrefix="0" xfId="0">
      <alignment horizontal="center" vertical="center"/>
    </xf>
    <xf numFmtId="165" fontId="4" fillId="0" borderId="3" applyAlignment="1" pivotButton="0" quotePrefix="0" xfId="0">
      <alignment horizontal="center" vertical="center"/>
    </xf>
    <xf numFmtId="165" fontId="4" fillId="6" borderId="3" applyAlignment="1" pivotButton="0" quotePrefix="0" xfId="0">
      <alignment horizontal="center" vertical="center"/>
    </xf>
    <xf numFmtId="164" fontId="4" fillId="0" borderId="3" applyAlignment="1" pivotButton="0" quotePrefix="0" xfId="0">
      <alignment horizontal="left" vertical="center"/>
    </xf>
    <xf numFmtId="164" fontId="4" fillId="6" borderId="3" applyAlignment="1" pivotButton="0" quotePrefix="0" xfId="0">
      <alignment horizontal="left" vertical="center"/>
    </xf>
    <xf numFmtId="0" fontId="8" fillId="0" borderId="0" pivotButton="0" quotePrefix="0" xfId="0"/>
    <xf numFmtId="0" fontId="4" fillId="5" borderId="0" applyAlignment="1" pivotButton="0" quotePrefix="0" xfId="0">
      <alignment horizontal="left" vertical="center"/>
    </xf>
    <xf numFmtId="165" fontId="4" fillId="5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E3E9DF"/>
        </patternFill>
      </fill>
    </dxf>
    <dxf>
      <fill>
        <patternFill patternType="solid">
          <fgColor rgb="00F3D9D6"/>
        </patternFill>
      </fill>
    </dxf>
    <dxf>
      <fill>
        <patternFill patternType="solid">
          <fgColor rgb="00F5E4E1"/>
        </patternFill>
      </fill>
    </dxf>
    <dxf>
      <fill>
        <patternFill patternType="solid">
          <fgColor rgb="00D2BC8B"/>
        </patternFill>
      </fill>
    </dxf>
    <dxf>
      <fill>
        <patternFill patternType="solid">
          <fgColor rgb="00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Budget vs. Actual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'Lists'!W1</f>
            </strRef>
          </tx>
          <spPr>
            <a:solidFill>
              <a:srgbClr val="C98F91"/>
            </a:solidFill>
            <a:ln>
              <a:noFill/>
              <a:prstDash val="solid"/>
            </a:ln>
          </spPr>
          <cat>
            <strRef>
              <f>'Lists'!$F$2:$F$21</f>
              <strCache>
                <ptCount val="20"/>
                <pt idx="0">
                  <v>Venue</v>
                </pt>
                <pt idx="1">
                  <v>Catering</v>
                </pt>
                <pt idx="2">
                  <v>Photography</v>
                </pt>
                <pt idx="3">
                  <v>Videography</v>
                </pt>
                <pt idx="4">
                  <v>Attire</v>
                </pt>
                <pt idx="5">
                  <v>Beauty</v>
                </pt>
                <pt idx="6">
                  <v>Flowers</v>
                </pt>
                <pt idx="7">
                  <v>Decor</v>
                </pt>
                <pt idx="8">
                  <v>Entertainment</v>
                </pt>
                <pt idx="9">
                  <v>Music</v>
                </pt>
                <pt idx="10">
                  <v>Transportation</v>
                </pt>
                <pt idx="11">
                  <v>Invitations</v>
                </pt>
                <pt idx="12">
                  <v>Stationery</v>
                </pt>
                <pt idx="13">
                  <v>Cake</v>
                </pt>
                <pt idx="14">
                  <v>Rings</v>
                </pt>
                <pt idx="15">
                  <v>Rentals</v>
                </pt>
                <pt idx="16">
                  <v>Accommodation</v>
                </pt>
                <pt idx="17">
                  <v>Gifts</v>
                </pt>
                <pt idx="18">
                  <v>Honeymoon</v>
                </pt>
                <pt idx="19">
                  <v>Miscellaneous</v>
                </pt>
              </strCache>
            </strRef>
          </cat>
          <val>
            <numRef>
              <f>'Lists'!$W$2:$W$21</f>
              <numCache>
                <formatCode>General</formatCode>
                <ptCount val="20"/>
                <pt idx="0">
                  <v>13500</v>
                </pt>
                <pt idx="1">
                  <v>12700</v>
                </pt>
                <pt idx="2">
                  <v>3800</v>
                </pt>
                <pt idx="3">
                  <v>2600</v>
                </pt>
                <pt idx="4">
                  <v>3700</v>
                </pt>
                <pt idx="5">
                  <v>1400</v>
                </pt>
                <pt idx="6">
                  <v>4200</v>
                </pt>
                <pt idx="7">
                  <v>3100</v>
                </pt>
                <pt idx="8">
                  <v>1800</v>
                </pt>
                <pt idx="9">
                  <v>900</v>
                </pt>
                <pt idx="10">
                  <v>1200</v>
                </pt>
                <pt idx="11">
                  <v>650</v>
                </pt>
                <pt idx="12">
                  <v>1200</v>
                </pt>
                <pt idx="13">
                  <v>1100</v>
                </pt>
                <pt idx="14">
                  <v>2200</v>
                </pt>
                <pt idx="15">
                  <v>2400</v>
                </pt>
                <pt idx="16">
                  <v>1600</v>
                </pt>
                <pt idx="17">
                  <v>700</v>
                </pt>
                <pt idx="18">
                  <v>8000</v>
                </pt>
                <pt idx="19">
                  <v>1150</v>
                </pt>
              </numCache>
            </numRef>
          </val>
        </ser>
        <ser>
          <idx val="1"/>
          <order val="1"/>
          <tx>
            <strRef>
              <f>'Lists'!X1</f>
            </strRef>
          </tx>
          <spPr>
            <a:solidFill>
              <a:srgbClr val="A8B5A0"/>
            </a:solidFill>
            <a:ln>
              <a:noFill/>
              <a:prstDash val="solid"/>
            </a:ln>
          </spPr>
          <cat>
            <strRef>
              <f>'Lists'!$F$2:$F$21</f>
              <strCache>
                <ptCount val="20"/>
                <pt idx="0">
                  <v>Venue</v>
                </pt>
                <pt idx="1">
                  <v>Catering</v>
                </pt>
                <pt idx="2">
                  <v>Photography</v>
                </pt>
                <pt idx="3">
                  <v>Videography</v>
                </pt>
                <pt idx="4">
                  <v>Attire</v>
                </pt>
                <pt idx="5">
                  <v>Beauty</v>
                </pt>
                <pt idx="6">
                  <v>Flowers</v>
                </pt>
                <pt idx="7">
                  <v>Decor</v>
                </pt>
                <pt idx="8">
                  <v>Entertainment</v>
                </pt>
                <pt idx="9">
                  <v>Music</v>
                </pt>
                <pt idx="10">
                  <v>Transportation</v>
                </pt>
                <pt idx="11">
                  <v>Invitations</v>
                </pt>
                <pt idx="12">
                  <v>Stationery</v>
                </pt>
                <pt idx="13">
                  <v>Cake</v>
                </pt>
                <pt idx="14">
                  <v>Rings</v>
                </pt>
                <pt idx="15">
                  <v>Rentals</v>
                </pt>
                <pt idx="16">
                  <v>Accommodation</v>
                </pt>
                <pt idx="17">
                  <v>Gifts</v>
                </pt>
                <pt idx="18">
                  <v>Honeymoon</v>
                </pt>
                <pt idx="19">
                  <v>Miscellaneous</v>
                </pt>
              </strCache>
            </strRef>
          </cat>
          <val>
            <numRef>
              <f>'Lists'!$X$2:$X$21</f>
              <numCache>
                <formatCode>General</formatCode>
                <ptCount val="20"/>
                <pt idx="0">
                  <v>13500</v>
                </pt>
                <pt idx="1">
                  <v>13100</v>
                </pt>
                <pt idx="2">
                  <v>3800</v>
                </pt>
                <pt idx="3">
                  <v>2600</v>
                </pt>
                <pt idx="4">
                  <v>3825</v>
                </pt>
                <pt idx="5">
                  <v>1450</v>
                </pt>
                <pt idx="6">
                  <v>4400</v>
                </pt>
                <pt idx="7">
                  <v>3050</v>
                </pt>
                <pt idx="8">
                  <v>1800</v>
                </pt>
                <pt idx="9">
                  <v>900</v>
                </pt>
                <pt idx="10">
                  <v>1150</v>
                </pt>
                <pt idx="11">
                  <v>620</v>
                </pt>
                <pt idx="12">
                  <v>1180</v>
                </pt>
                <pt idx="13">
                  <v>1150</v>
                </pt>
                <pt idx="14">
                  <v>2150</v>
                </pt>
                <pt idx="15">
                  <v>2500</v>
                </pt>
                <pt idx="16">
                  <v>1600</v>
                </pt>
                <pt idx="17">
                  <v>680</v>
                </pt>
                <pt idx="18">
                  <v>6450</v>
                </pt>
                <pt idx="19">
                  <v>400</v>
                </pt>
              </numCache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;[RED]-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Expenses by Category</a:t>
            </a:r>
          </a:p>
        </rich>
      </tx>
    </title>
    <plotArea>
      <doughnutChart>
        <varyColors val="1"/>
        <ser>
          <idx val="0"/>
          <order val="0"/>
          <spPr>
            <a:solidFill>
              <a:srgbClr val="C98F91"/>
            </a:solidFill>
            <a:ln>
              <a:noFill/>
              <a:prstDash val="solid"/>
            </a:ln>
          </spPr>
          <dPt>
            <idx val="0"/>
            <spPr>
              <a:solidFill>
                <a:srgbClr val="C98F91"/>
              </a:solidFill>
              <a:ln>
                <a:prstDash val="solid"/>
              </a:ln>
            </spPr>
          </dPt>
          <dPt>
            <idx val="1"/>
            <spPr>
              <a:solidFill>
                <a:srgbClr val="A8B5A0"/>
              </a:solidFill>
              <a:ln>
                <a:prstDash val="solid"/>
              </a:ln>
            </spPr>
          </dPt>
          <dPt>
            <idx val="2"/>
            <spPr>
              <a:solidFill>
                <a:srgbClr val="B89B5E"/>
              </a:solidFill>
              <a:ln>
                <a:prstDash val="solid"/>
              </a:ln>
            </spPr>
          </dPt>
          <dPt>
            <idx val="3"/>
            <spPr>
              <a:solidFill>
                <a:srgbClr val="D9B8B4"/>
              </a:solidFill>
              <a:ln>
                <a:prstDash val="solid"/>
              </a:ln>
            </spPr>
          </dPt>
          <dPt>
            <idx val="4"/>
            <spPr>
              <a:solidFill>
                <a:srgbClr val="C7D2C0"/>
              </a:solidFill>
              <a:ln>
                <a:prstDash val="solid"/>
              </a:ln>
            </spPr>
          </dPt>
          <dPt>
            <idx val="5"/>
            <spPr>
              <a:solidFill>
                <a:srgbClr val="D2BC8B"/>
              </a:solidFill>
              <a:ln>
                <a:prstDash val="solid"/>
              </a:ln>
            </spPr>
          </dPt>
          <dPt>
            <idx val="6"/>
            <spPr>
              <a:solidFill>
                <a:srgbClr val="9D646B"/>
              </a:solidFill>
              <a:ln>
                <a:prstDash val="solid"/>
              </a:ln>
            </spPr>
          </dPt>
          <dPt>
            <idx val="7"/>
            <spPr>
              <a:solidFill>
                <a:srgbClr val="715B52"/>
              </a:solidFill>
              <a:ln>
                <a:prstDash val="solid"/>
              </a:ln>
            </spPr>
          </dPt>
          <dPt>
            <idx val="8"/>
            <spPr>
              <a:solidFill>
                <a:srgbClr val="C98F91"/>
              </a:solidFill>
              <a:ln>
                <a:prstDash val="solid"/>
              </a:ln>
            </spPr>
          </dPt>
          <dPt>
            <idx val="9"/>
            <spPr>
              <a:solidFill>
                <a:srgbClr val="A8B5A0"/>
              </a:solidFill>
              <a:ln>
                <a:prstDash val="solid"/>
              </a:ln>
            </spPr>
          </dPt>
          <dPt>
            <idx val="10"/>
            <spPr>
              <a:solidFill>
                <a:srgbClr val="B89B5E"/>
              </a:solidFill>
              <a:ln>
                <a:prstDash val="solid"/>
              </a:ln>
            </spPr>
          </dPt>
          <dPt>
            <idx val="11"/>
            <spPr>
              <a:solidFill>
                <a:srgbClr val="D9B8B4"/>
              </a:solidFill>
              <a:ln>
                <a:prstDash val="solid"/>
              </a:ln>
            </spPr>
          </dPt>
          <dPt>
            <idx val="12"/>
            <spPr>
              <a:solidFill>
                <a:srgbClr val="C7D2C0"/>
              </a:solidFill>
              <a:ln>
                <a:prstDash val="solid"/>
              </a:ln>
            </spPr>
          </dPt>
          <dPt>
            <idx val="13"/>
            <spPr>
              <a:solidFill>
                <a:srgbClr val="D2BC8B"/>
              </a:solidFill>
              <a:ln>
                <a:prstDash val="solid"/>
              </a:ln>
            </spPr>
          </dPt>
          <dPt>
            <idx val="14"/>
            <spPr>
              <a:solidFill>
                <a:srgbClr val="9D646B"/>
              </a:solidFill>
              <a:ln>
                <a:prstDash val="solid"/>
              </a:ln>
            </spPr>
          </dPt>
          <dPt>
            <idx val="15"/>
            <spPr>
              <a:solidFill>
                <a:srgbClr val="715B52"/>
              </a:solidFill>
              <a:ln>
                <a:prstDash val="solid"/>
              </a:ln>
            </spPr>
          </dPt>
          <dPt>
            <idx val="16"/>
            <spPr>
              <a:solidFill>
                <a:srgbClr val="C98F91"/>
              </a:solidFill>
              <a:ln>
                <a:prstDash val="solid"/>
              </a:ln>
            </spPr>
          </dPt>
          <dPt>
            <idx val="17"/>
            <spPr>
              <a:solidFill>
                <a:srgbClr val="A8B5A0"/>
              </a:solidFill>
              <a:ln>
                <a:prstDash val="solid"/>
              </a:ln>
            </spPr>
          </dPt>
          <dPt>
            <idx val="18"/>
            <spPr>
              <a:solidFill>
                <a:srgbClr val="B89B5E"/>
              </a:solidFill>
              <a:ln>
                <a:prstDash val="solid"/>
              </a:ln>
            </spPr>
          </dPt>
          <dPt>
            <idx val="19"/>
            <spPr>
              <a:solidFill>
                <a:srgbClr val="D9B8B4"/>
              </a:solidFill>
              <a:ln>
                <a:prstDash val="solid"/>
              </a:ln>
            </spPr>
          </dPt>
          <cat>
            <strRef>
              <f>'Lists'!$F$2:$F$21</f>
              <strCache>
                <ptCount val="20"/>
                <pt idx="0">
                  <v>Venue</v>
                </pt>
                <pt idx="1">
                  <v>Catering</v>
                </pt>
                <pt idx="2">
                  <v>Photography</v>
                </pt>
                <pt idx="3">
                  <v>Videography</v>
                </pt>
                <pt idx="4">
                  <v>Attire</v>
                </pt>
                <pt idx="5">
                  <v>Beauty</v>
                </pt>
                <pt idx="6">
                  <v>Flowers</v>
                </pt>
                <pt idx="7">
                  <v>Decor</v>
                </pt>
                <pt idx="8">
                  <v>Entertainment</v>
                </pt>
                <pt idx="9">
                  <v>Music</v>
                </pt>
                <pt idx="10">
                  <v>Transportation</v>
                </pt>
                <pt idx="11">
                  <v>Invitations</v>
                </pt>
                <pt idx="12">
                  <v>Stationery</v>
                </pt>
                <pt idx="13">
                  <v>Cake</v>
                </pt>
                <pt idx="14">
                  <v>Rings</v>
                </pt>
                <pt idx="15">
                  <v>Rentals</v>
                </pt>
                <pt idx="16">
                  <v>Accommodation</v>
                </pt>
                <pt idx="17">
                  <v>Gifts</v>
                </pt>
                <pt idx="18">
                  <v>Honeymoon</v>
                </pt>
                <pt idx="19">
                  <v>Miscellaneous</v>
                </pt>
              </strCache>
            </strRef>
          </cat>
          <val>
            <numRef>
              <f>'Lists'!$X$2:$X$21</f>
              <numCache>
                <formatCode>General</formatCode>
                <ptCount val="20"/>
                <pt idx="0">
                  <v>13500</v>
                </pt>
                <pt idx="1">
                  <v>13100</v>
                </pt>
                <pt idx="2">
                  <v>3800</v>
                </pt>
                <pt idx="3">
                  <v>2600</v>
                </pt>
                <pt idx="4">
                  <v>3825</v>
                </pt>
                <pt idx="5">
                  <v>1450</v>
                </pt>
                <pt idx="6">
                  <v>4400</v>
                </pt>
                <pt idx="7">
                  <v>3050</v>
                </pt>
                <pt idx="8">
                  <v>1800</v>
                </pt>
                <pt idx="9">
                  <v>900</v>
                </pt>
                <pt idx="10">
                  <v>1150</v>
                </pt>
                <pt idx="11">
                  <v>620</v>
                </pt>
                <pt idx="12">
                  <v>1180</v>
                </pt>
                <pt idx="13">
                  <v>1150</v>
                </pt>
                <pt idx="14">
                  <v>2150</v>
                </pt>
                <pt idx="15">
                  <v>2500</v>
                </pt>
                <pt idx="16">
                  <v>1600</v>
                </pt>
                <pt idx="17">
                  <v>680</v>
                </pt>
                <pt idx="18">
                  <v>6450</v>
                </pt>
                <pt idx="19">
                  <v>400</v>
                </pt>
              </numCache>
            </numRef>
          </val>
        </ser>
        <dLbls>
          <delete val="1"/>
        </dLbls>
        <firstSliceAng val="0"/>
        <holeSize val="10"/>
      </doughnutChart>
    </plotArea>
    <legend>
      <legendPos val="r"/>
      <overlay val="0"/>
      <txPr>
        <a:bodyPr/>
        <a:p>
          <a:pPr>
            <a:defRPr sz="800">
              <a:latin typeface="Calibri"/>
            </a:defRPr>
          </a:pPr>
          <a:r>
            <a:t/>
          </a:r>
          <a:endParaRPr sz="800">
            <a:latin typeface="Calibri"/>
          </a:endParaRP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Paid vs. Remaining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C98F91"/>
            </a:solidFill>
            <a:ln>
              <a:noFill/>
              <a:prstDash val="solid"/>
            </a:ln>
          </spPr>
          <cat>
            <strRef>
              <f>'Lists'!$Y$2:$Y$3</f>
              <strCache>
                <ptCount val="2"/>
                <pt idx="0">
                  <v>Paid</v>
                </pt>
                <pt idx="1">
                  <v>Remaining</v>
                </pt>
              </strCache>
            </strRef>
          </cat>
          <val>
            <numRef>
              <f>'Lists'!$Z$2:$Z$3</f>
              <numCache>
                <formatCode>General</formatCode>
                <ptCount val="2"/>
                <pt idx="0">
                  <v>49755</v>
                </pt>
                <pt idx="1">
                  <v>16550</v>
                </pt>
              </numCache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Top 5 Wedding Expenses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C98F91"/>
            </a:solidFill>
            <a:ln>
              <a:noFill/>
              <a:prstDash val="solid"/>
            </a:ln>
          </spPr>
          <cat>
            <strRef>
              <f>'Lists'!$AB$2:$AB$6</f>
              <strCache>
                <ptCount val="5"/>
                <pt idx="0">
                  <v>Vineyard estate rental — full day</v>
                </pt>
                <pt idx="1">
                  <v>Plated 3-course dinner (150 guests)</v>
                </pt>
                <pt idx="2">
                  <v>See Honeymoon Budget tab for detail</v>
                </pt>
                <pt idx="3">
                  <v>Bouquets, centerpieces, arch florals</v>
                </pt>
                <pt idx="4">
                  <v>10-hour wedding photography package</v>
                </pt>
              </strCache>
            </strRef>
          </cat>
          <val>
            <numRef>
              <f>'Lists'!$AA$2:$AA$6</f>
              <numCache>
                <formatCode>General</formatCode>
                <ptCount val="5"/>
                <pt idx="0">
                  <v>12000</v>
                </pt>
                <pt idx="1">
                  <v>9750</v>
                </pt>
                <pt idx="2">
                  <v>6450</v>
                </pt>
                <pt idx="3">
                  <v>4400</v>
                </pt>
                <pt idx="4">
                  <v>3800</v>
                </pt>
              </numCache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RSVP Status</a:t>
            </a:r>
          </a:p>
        </rich>
      </tx>
    </title>
    <plotArea>
      <doughnutChart>
        <varyColors val="1"/>
        <ser>
          <idx val="0"/>
          <order val="0"/>
          <spPr>
            <a:solidFill>
              <a:srgbClr val="C98F91"/>
            </a:solidFill>
            <a:ln>
              <a:noFill/>
              <a:prstDash val="solid"/>
            </a:ln>
          </spPr>
          <dPt>
            <idx val="0"/>
            <spPr>
              <a:solidFill>
                <a:srgbClr val="C98F91"/>
              </a:solidFill>
              <a:ln>
                <a:prstDash val="solid"/>
              </a:ln>
            </spPr>
          </dPt>
          <dPt>
            <idx val="1"/>
            <spPr>
              <a:solidFill>
                <a:srgbClr val="A8B5A0"/>
              </a:solidFill>
              <a:ln>
                <a:prstDash val="solid"/>
              </a:ln>
            </spPr>
          </dPt>
          <dPt>
            <idx val="2"/>
            <spPr>
              <a:solidFill>
                <a:srgbClr val="B89B5E"/>
              </a:solidFill>
              <a:ln>
                <a:prstDash val="solid"/>
              </a:ln>
            </spPr>
          </dPt>
          <dPt>
            <idx val="3"/>
            <spPr>
              <a:solidFill>
                <a:srgbClr val="D9B8B4"/>
              </a:solidFill>
              <a:ln>
                <a:prstDash val="solid"/>
              </a:ln>
            </spPr>
          </dPt>
          <cat>
            <strRef>
              <f>'Lists'!$A$2:$A$5</f>
              <strCache>
                <ptCount val="4"/>
                <pt idx="0">
                  <v>Pending</v>
                </pt>
                <pt idx="1">
                  <v>Attending</v>
                </pt>
                <pt idx="2">
                  <v>Declined</v>
                </pt>
                <pt idx="3">
                  <v>Tentative</v>
                </pt>
              </strCache>
            </strRef>
          </cat>
          <val>
            <numRef>
              <f>'Lists'!$AC$2:$AC$5</f>
              <numCache>
                <formatCode>General</formatCode>
                <ptCount val="4"/>
                <pt idx="0">
                  <v>8</v>
                </pt>
                <pt idx="1">
                  <v>34</v>
                </pt>
                <pt idx="2">
                  <v>8</v>
                </pt>
                <pt idx="3">
                  <v>8</v>
                </pt>
              </numCache>
            </numRef>
          </val>
        </ser>
        <dLbls>
          <delete val="1"/>
        </dLbls>
        <firstSliceAng val="0"/>
        <holeSize val="10"/>
      </doughnutChart>
    </plotArea>
    <legend>
      <legendPos val="r"/>
      <overlay val="0"/>
      <txPr>
        <a:bodyPr/>
        <a:p>
          <a:pPr>
            <a:defRPr sz="1000">
              <a:latin typeface="Calibri"/>
            </a:defRPr>
          </a:pPr>
          <a:r>
            <a:t/>
          </a:r>
          <a:endParaRPr sz="1000">
            <a:latin typeface="Calibri"/>
          </a:endParaRP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Guest Meal Preferences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C98F91"/>
            </a:solidFill>
            <a:ln>
              <a:noFill/>
              <a:prstDash val="solid"/>
            </a:ln>
          </spPr>
          <cat>
            <strRef>
              <f>'Lists'!$G$2:$G$7</f>
              <strCache>
                <ptCount val="6"/>
                <pt idx="0">
                  <v>Standard</v>
                </pt>
                <pt idx="1">
                  <v>Vegetarian</v>
                </pt>
                <pt idx="2">
                  <v>Vegan</v>
                </pt>
                <pt idx="3">
                  <v>Gluten-Free</v>
                </pt>
                <pt idx="4">
                  <v>Kids Meal</v>
                </pt>
                <pt idx="5">
                  <v>Other</v>
                </pt>
              </strCache>
            </strRef>
          </cat>
          <val>
            <numRef>
              <f>'Lists'!$AD$2:$AD$7</f>
              <numCache>
                <formatCode>General</formatCode>
                <ptCount val="6"/>
                <pt idx="0">
                  <v>6</v>
                </pt>
                <pt idx="1">
                  <v>8</v>
                </pt>
                <pt idx="2">
                  <v>7</v>
                </pt>
                <pt idx="3">
                  <v>6</v>
                </pt>
                <pt idx="4">
                  <v>7</v>
                </pt>
                <pt idx="5">
                  <v>0</v>
                </pt>
              </numCache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Checklist Completion by Period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'Lists'!AE1</f>
            </strRef>
          </tx>
          <spPr>
            <a:solidFill>
              <a:srgbClr val="C98F91"/>
            </a:solidFill>
            <a:ln>
              <a:noFill/>
              <a:prstDash val="solid"/>
            </a:ln>
          </spPr>
          <cat>
            <strRef>
              <f>'Lists'!$AG$2:$AG$10</f>
              <strCache>
                <ptCount val="9"/>
                <pt idx="0">
                  <v>12+ Months</v>
                </pt>
                <pt idx="1">
                  <v>9-12 Months</v>
                </pt>
                <pt idx="2">
                  <v>6-9 Months</v>
                </pt>
                <pt idx="3">
                  <v>3-6 Months</v>
                </pt>
                <pt idx="4">
                  <v>1-3 Months</v>
                </pt>
                <pt idx="5">
                  <v>Final Month</v>
                </pt>
                <pt idx="6">
                  <v>Wedding Week</v>
                </pt>
                <pt idx="7">
                  <v>Wedding Day</v>
                </pt>
                <pt idx="8">
                  <v>Post-Wedding</v>
                </pt>
              </strCache>
            </strRef>
          </cat>
          <val>
            <numRef>
              <f>'Lists'!$AE$2:$AE$10</f>
              <numCache>
                <formatCode>General</formatCode>
                <ptCount val="9"/>
                <pt idx="0">
                  <v>5</v>
                </pt>
                <pt idx="1">
                  <v>6</v>
                </pt>
                <pt idx="2">
                  <v>6</v>
                </pt>
                <pt idx="3">
                  <v>5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ser>
          <idx val="1"/>
          <order val="1"/>
          <tx>
            <strRef>
              <f>'Lists'!AF1</f>
            </strRef>
          </tx>
          <spPr>
            <a:solidFill>
              <a:srgbClr val="A8B5A0"/>
            </a:solidFill>
            <a:ln>
              <a:noFill/>
              <a:prstDash val="solid"/>
            </a:ln>
          </spPr>
          <cat>
            <strRef>
              <f>'Lists'!$AG$2:$AG$10</f>
              <strCache>
                <ptCount val="9"/>
                <pt idx="0">
                  <v>12+ Months</v>
                </pt>
                <pt idx="1">
                  <v>9-12 Months</v>
                </pt>
                <pt idx="2">
                  <v>6-9 Months</v>
                </pt>
                <pt idx="3">
                  <v>3-6 Months</v>
                </pt>
                <pt idx="4">
                  <v>1-3 Months</v>
                </pt>
                <pt idx="5">
                  <v>Final Month</v>
                </pt>
                <pt idx="6">
                  <v>Wedding Week</v>
                </pt>
                <pt idx="7">
                  <v>Wedding Day</v>
                </pt>
                <pt idx="8">
                  <v>Post-Wedding</v>
                </pt>
              </strCache>
            </strRef>
          </cat>
          <val>
            <numRef>
              <f>'Lists'!$AF$2:$AF$10</f>
              <numCache>
                <formatCode>General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2</v>
                </pt>
                <pt idx="4">
                  <v>6</v>
                </pt>
                <pt idx="5">
                  <v>6</v>
                </pt>
                <pt idx="6">
                  <v>4</v>
                </pt>
                <pt idx="7">
                  <v>4</v>
                </pt>
                <pt idx="8">
                  <v>4</v>
                </pt>
              </numCache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Honeymoon: Planned vs.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'Honeymoon Budget'!C5</f>
            </strRef>
          </tx>
          <spPr>
            <a:solidFill>
              <a:srgbClr val="C98F91"/>
            </a:solidFill>
            <a:ln>
              <a:noFill/>
              <a:prstDash val="solid"/>
            </a:ln>
          </spPr>
          <cat>
            <strRef>
              <f>'Honeymoon Budget'!$B$6:$B$15</f>
              <strCache>
                <ptCount val="8"/>
                <pt idx="0">
                  <v>Flights</v>
                </pt>
                <pt idx="1">
                  <v>Hotel</v>
                </pt>
                <pt idx="2">
                  <v>Transportation</v>
                </pt>
                <pt idx="3">
                  <v>Food</v>
                </pt>
                <pt idx="4">
                  <v>Activities</v>
                </pt>
                <pt idx="5">
                  <v>Shopping</v>
                </pt>
                <pt idx="6">
                  <v>Travel Insurance</v>
                </pt>
                <pt idx="7">
                  <v>Miscellaneous</v>
                </pt>
              </strCache>
            </strRef>
          </cat>
          <val>
            <numRef>
              <f>'Honeymoon Budget'!$C$6:$C$15</f>
              <numCache>
                <formatCode>General</formatCode>
                <ptCount val="8"/>
                <pt idx="0">
                  <v>1800</v>
                </pt>
                <pt idx="1">
                  <v>3200</v>
                </pt>
                <pt idx="2">
                  <v>400</v>
                </pt>
                <pt idx="3">
                  <v>1200</v>
                </pt>
                <pt idx="4">
                  <v>900</v>
                </pt>
                <pt idx="5">
                  <v>300</v>
                </pt>
                <pt idx="6">
                  <v>150</v>
                </pt>
                <pt idx="7">
                  <v>50</v>
                </pt>
              </numCache>
            </numRef>
          </val>
        </ser>
        <ser>
          <idx val="1"/>
          <order val="1"/>
          <tx>
            <strRef>
              <f>'Honeymoon Budget'!D5</f>
            </strRef>
          </tx>
          <spPr>
            <a:solidFill>
              <a:srgbClr val="A8B5A0"/>
            </a:solidFill>
            <a:ln>
              <a:noFill/>
              <a:prstDash val="solid"/>
            </a:ln>
          </spPr>
          <cat>
            <strRef>
              <f>'Honeymoon Budget'!$B$6:$B$15</f>
              <strCache>
                <ptCount val="8"/>
                <pt idx="0">
                  <v>Flights</v>
                </pt>
                <pt idx="1">
                  <v>Hotel</v>
                </pt>
                <pt idx="2">
                  <v>Transportation</v>
                </pt>
                <pt idx="3">
                  <v>Food</v>
                </pt>
                <pt idx="4">
                  <v>Activities</v>
                </pt>
                <pt idx="5">
                  <v>Shopping</v>
                </pt>
                <pt idx="6">
                  <v>Travel Insurance</v>
                </pt>
                <pt idx="7">
                  <v>Miscellaneous</v>
                </pt>
              </strCache>
            </strRef>
          </cat>
          <val>
            <numRef>
              <f>'Honeymoon Budget'!$D$6:$D$15</f>
              <numCache>
                <formatCode>General</formatCode>
                <ptCount val="8"/>
                <pt idx="0">
                  <v>1750</v>
                </pt>
                <pt idx="1">
                  <v>2900</v>
                </pt>
                <pt idx="2">
                  <v>380</v>
                </pt>
                <pt idx="3">
                  <v>900</v>
                </pt>
                <pt idx="4">
                  <v>320</v>
                </pt>
                <pt idx="5">
                  <v>200</v>
                </pt>
                <pt idx="6">
                  <v>150</v>
                </pt>
                <pt idx="7">
                  <v>0</v>
                </pt>
              </numCache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27</row>
      <rowOff>0</rowOff>
    </from>
    <ext cx="54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27</row>
      <rowOff>0</rowOff>
    </from>
    <ext cx="540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47</row>
      <rowOff>0</rowOff>
    </from>
    <ext cx="540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47</row>
      <rowOff>0</rowOff>
    </from>
    <ext cx="540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67</row>
      <rowOff>0</rowOff>
    </from>
    <ext cx="5400000" cy="30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12</col>
      <colOff>0</colOff>
      <row>67</row>
      <rowOff>0</rowOff>
    </from>
    <ext cx="5400000" cy="30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87</row>
      <rowOff>0</rowOff>
    </from>
    <ext cx="5400000" cy="30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12</col>
      <colOff>0</colOff>
      <row>87</row>
      <rowOff>0</rowOff>
    </from>
    <ext cx="5400000" cy="30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udgetTable" displayName="BudgetTable" ref="B5:N35" headerRowCount="1">
  <autoFilter ref="B5:N35"/>
  <tableColumns count="13">
    <tableColumn id="1" name="Category"/>
    <tableColumn id="2" name="Subcategory"/>
    <tableColumn id="3" name="Item / Description"/>
    <tableColumn id="4" name="Vendor"/>
    <tableColumn id="5" name="Planned Budget"/>
    <tableColumn id="6" name="Actual Cost"/>
    <tableColumn id="7" name="Difference"/>
    <tableColumn id="8" name="Deposit"/>
    <tableColumn id="9" name="Amount Paid"/>
    <tableColumn id="10" name="Amount Remaining"/>
    <tableColumn id="11" name="Due Date"/>
    <tableColumn id="12" name="Payment Status"/>
    <tableColumn id="13" name="Note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VendorsTable" displayName="VendorsTable" ref="B5:P31" headerRowCount="1">
  <autoFilter ref="B5:P31"/>
  <tableColumns count="15">
    <tableColumn id="14" name="Vendor Name"/>
    <tableColumn id="15" name="Category"/>
    <tableColumn id="16" name="Contact Person"/>
    <tableColumn id="17" name="Phone"/>
    <tableColumn id="18" name="Email"/>
    <tableColumn id="19" name="Website"/>
    <tableColumn id="20" name="Quote"/>
    <tableColumn id="21" name="Final Cost"/>
    <tableColumn id="22" name="Deposit"/>
    <tableColumn id="23" name="Remaining"/>
    <tableColumn id="24" name="Contract Status"/>
    <tableColumn id="25" name="Payment Status"/>
    <tableColumn id="26" name="Due Date"/>
    <tableColumn id="27" name="Rating"/>
    <tableColumn id="28" name="Note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GuestTable" displayName="GuestTable" ref="B5:P65" headerRowCount="1">
  <autoFilter ref="B5:P65"/>
  <tableColumns count="15">
    <tableColumn id="29" name="Guest Name"/>
    <tableColumn id="30" name="Household / Group"/>
    <tableColumn id="31" name="Side"/>
    <tableColumn id="32" name="Relationship"/>
    <tableColumn id="33" name="Email"/>
    <tableColumn id="34" name="Phone"/>
    <tableColumn id="35" name="Invitation Sent"/>
    <tableColumn id="36" name="RSVP Status"/>
    <tableColumn id="37" name="Plus One"/>
    <tableColumn id="38" name="Plus One Name"/>
    <tableColumn id="39" name="Meal Preference"/>
    <tableColumn id="40" name="Dietary Restrictions"/>
    <tableColumn id="41" name="Children Attending"/>
    <tableColumn id="42" name="Table Number"/>
    <tableColumn id="43" name="Not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imelineTable" displayName="TimelineTable" ref="B5:G21" headerRowCount="1">
  <autoFilter ref="B5:G21"/>
  <tableColumns count="6">
    <tableColumn id="44" name="Time"/>
    <tableColumn id="45" name="Event"/>
    <tableColumn id="46" name="Location"/>
    <tableColumn id="47" name="Person Responsible"/>
    <tableColumn id="48" name="Vendor"/>
    <tableColumn id="49" name="Note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ChecklistTable" displayName="ChecklistTable" ref="B5:I65" headerRowCount="1">
  <autoFilter ref="B5:I65"/>
  <tableColumns count="8">
    <tableColumn id="50" name="Period"/>
    <tableColumn id="51" name="Task"/>
    <tableColumn id="52" name="Category"/>
    <tableColumn id="53" name="Priority"/>
    <tableColumn id="54" name="Owner"/>
    <tableColumn id="55" name="Due Date"/>
    <tableColumn id="56" name="Status"/>
    <tableColumn id="57" name="Note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PaymentsTable" displayName="PaymentsTable" ref="B5:K29" headerRowCount="1">
  <autoFilter ref="B5:K29"/>
  <tableColumns count="10">
    <tableColumn id="58" name="Vendor"/>
    <tableColumn id="59" name="Expense"/>
    <tableColumn id="60" name="Total Cost"/>
    <tableColumn id="61" name="Deposit"/>
    <tableColumn id="62" name="Amount Paid"/>
    <tableColumn id="63" name="Remaining"/>
    <tableColumn id="64" name="Due Date"/>
    <tableColumn id="65" name="Payment Status"/>
    <tableColumn id="66" name="Payment Method"/>
    <tableColumn id="67" name="Note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WeddingPartyTable" displayName="WeddingPartyTable" ref="B5:I17" headerRowCount="1">
  <autoFilter ref="B5:I17"/>
  <tableColumns count="8">
    <tableColumn id="68" name="Name"/>
    <tableColumn id="69" name="Role"/>
    <tableColumn id="70" name="Side"/>
    <tableColumn id="71" name="Phone"/>
    <tableColumn id="72" name="Email"/>
    <tableColumn id="73" name="Responsibilities"/>
    <tableColumn id="74" name="Attire"/>
    <tableColumn id="75" name="Note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VenueTable" displayName="VenueTable" ref="B5:N15" headerRowCount="1">
  <autoFilter ref="B5:N15"/>
  <tableColumns count="13">
    <tableColumn id="76" name="Venue"/>
    <tableColumn id="77" name="Location"/>
    <tableColumn id="78" name="Capacity"/>
    <tableColumn id="79" name="Rental Cost"/>
    <tableColumn id="80" name="Catering Cost"/>
    <tableColumn id="81" name="Deposit"/>
    <tableColumn id="82" name="Availability"/>
    <tableColumn id="83" name="Ceremony Included"/>
    <tableColumn id="84" name="Reception Included"/>
    <tableColumn id="85" name="Parking"/>
    <tableColumn id="86" name="Accommodation"/>
    <tableColumn id="87" name="Rating"/>
    <tableColumn id="88" name="Notes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FoodTable" displayName="FoodTable" ref="B5:I29" headerRowCount="1">
  <autoFilter ref="B5:I29"/>
  <tableColumns count="8">
    <tableColumn id="89" name="Catering Vendor"/>
    <tableColumn id="90" name="Menu Item"/>
    <tableColumn id="91" name="Category"/>
    <tableColumn id="92" name="Quantity"/>
    <tableColumn id="93" name="Price"/>
    <tableColumn id="94" name="Total"/>
    <tableColumn id="95" name="Dietary Notes"/>
    <tableColumn id="96" name="Notes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HoneymoonTable" displayName="HoneymoonTable" ref="B5:I15" headerRowCount="1">
  <autoFilter ref="B5:I15"/>
  <tableColumns count="8">
    <tableColumn id="97" name="Category"/>
    <tableColumn id="98" name="Planned Budget"/>
    <tableColumn id="99" name="Actual Cost"/>
    <tableColumn id="100" name="Difference"/>
    <tableColumn id="101" name="Amount Paid"/>
    <tableColumn id="102" name="Remaining"/>
    <tableColumn id="103" name="Due Date"/>
    <tableColumn id="104" name="Notes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ContactsTable" displayName="ContactsTable" ref="B5:J25" headerRowCount="1">
  <autoFilter ref="B5:J25"/>
  <tableColumns count="9">
    <tableColumn id="105" name="Name"/>
    <tableColumn id="106" name="Company"/>
    <tableColumn id="107" name="Category"/>
    <tableColumn id="108" name="Role"/>
    <tableColumn id="109" name="Phone"/>
    <tableColumn id="110" name="Email"/>
    <tableColumn id="111" name="Website"/>
    <tableColumn id="112" name="Address"/>
    <tableColumn id="113" name="Notes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GiftTable" displayName="GiftTable" ref="B5:H33" headerRowCount="1">
  <autoFilter ref="B5:H33"/>
  <tableColumns count="7">
    <tableColumn id="114" name="Guest Name"/>
    <tableColumn id="115" name="Gift"/>
    <tableColumn id="116" name="Gift Type"/>
    <tableColumn id="117" name="Value"/>
    <tableColumn id="118" name="Thank You Sent"/>
    <tableColumn id="119" name="Date Received"/>
    <tableColumn id="120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tabColor rgb="00B89B5E"/>
    <outlinePr summaryBelow="1" summaryRight="1"/>
    <pageSetUpPr fitToPage="1"/>
  </sheetPr>
  <dimension ref="A1:H30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34" customHeight="1">
      <c r="A2" s="1" t="n"/>
      <c r="B2" s="2" t="inlineStr">
        <is>
          <t>WELCOME TO YOUR PREMIUM WEDDING PLANNER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A calm, elegant system for planning every detail of your wedding — from budget to seating chart.</t>
        </is>
      </c>
      <c r="C3" s="1" t="n"/>
      <c r="D3" s="1" t="n"/>
      <c r="E3" s="1" t="n"/>
      <c r="F3" s="1" t="n"/>
      <c r="G3" s="1" t="n"/>
      <c r="H3" s="1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6">
      <c r="B6" s="5" t="inlineStr">
        <is>
          <t>HOW THIS WORKBOOK WORKS</t>
        </is>
      </c>
    </row>
    <row r="7" ht="20" customHeight="1">
      <c r="B7" s="6" t="inlineStr">
        <is>
          <t>1. Start on the Settings sheet — enter your names, wedding date, budget and guest target once.</t>
        </is>
      </c>
    </row>
    <row r="8" ht="34" customHeight="1">
      <c r="B8" s="6" t="inlineStr">
        <is>
          <t>2. Every other sheet (Dashboard, Budget, Guest List, Checklist and more) calculates automatically from what you enter.</t>
        </is>
      </c>
    </row>
    <row r="9" ht="34" customHeight="1">
      <c r="B9" s="6" t="inlineStr">
        <is>
          <t>3. Use the dropdown menus in colored-header columns to keep your data consistent — just click a cell and choose from the list.</t>
        </is>
      </c>
    </row>
    <row r="10" ht="20" customHeight="1">
      <c r="B10" s="6" t="inlineStr">
        <is>
          <t>4. Visit the Dashboard any time for a beautiful, real-time snapshot of your whole wedding.</t>
        </is>
      </c>
    </row>
    <row r="11" ht="20" customHeight="1">
      <c r="B11" s="6" t="inlineStr">
        <is>
          <t>5. Each sheet has a small navigation link at the top-left to jump back to the Dashboard or this page.</t>
        </is>
      </c>
    </row>
    <row r="12" ht="20" customHeight="1">
      <c r="B12" s="6" t="inlineStr">
        <is>
          <t>6. All key sheets are print-ready — use File &gt; Print, and each will fit neatly on the page.</t>
        </is>
      </c>
    </row>
    <row r="14">
      <c r="B14" s="5" t="inlineStr">
        <is>
          <t>WHAT'S INSIDE</t>
        </is>
      </c>
    </row>
    <row r="15" ht="16" customHeight="1">
      <c r="B15" s="7" t="inlineStr">
        <is>
          <t>Dashboard</t>
        </is>
      </c>
      <c r="D15" s="8" t="inlineStr">
        <is>
          <t>Your wedding at a glance — budget, guests, checklist and more.</t>
        </is>
      </c>
    </row>
    <row r="16" ht="16" customHeight="1">
      <c r="B16" s="7" t="inlineStr">
        <is>
          <t>Budget</t>
        </is>
      </c>
      <c r="D16" s="8" t="inlineStr">
        <is>
          <t>Track every planned and actual expense by category.</t>
        </is>
      </c>
    </row>
    <row r="17" ht="16" customHeight="1">
      <c r="B17" s="7" t="inlineStr">
        <is>
          <t>Vendors</t>
        </is>
      </c>
      <c r="D17" s="8" t="inlineStr">
        <is>
          <t>Contact details, quotes and contracts for every vendor.</t>
        </is>
      </c>
    </row>
    <row r="18" ht="16" customHeight="1">
      <c r="B18" s="7" t="inlineStr">
        <is>
          <t>Guest List</t>
        </is>
      </c>
      <c r="D18" s="8" t="inlineStr">
        <is>
          <t>Manage invitations, RSVPs and meal preferences.</t>
        </is>
      </c>
    </row>
    <row r="19" ht="16" customHeight="1">
      <c r="B19" s="7" t="inlineStr">
        <is>
          <t>Seating Plan</t>
        </is>
      </c>
      <c r="D19" s="8" t="inlineStr">
        <is>
          <t>Assign guests to tables, synced with your Guest List.</t>
        </is>
      </c>
    </row>
    <row r="20" ht="16" customHeight="1">
      <c r="B20" s="7" t="inlineStr">
        <is>
          <t>Timeline</t>
        </is>
      </c>
      <c r="D20" s="8" t="inlineStr">
        <is>
          <t>Minute-by-minute plan for the wedding day.</t>
        </is>
      </c>
    </row>
    <row r="21" ht="16" customHeight="1">
      <c r="B21" s="7" t="inlineStr">
        <is>
          <t>Master Checklist</t>
        </is>
      </c>
      <c r="D21" s="8" t="inlineStr">
        <is>
          <t>Every planning task, organized by timeframe.</t>
        </is>
      </c>
    </row>
    <row r="22" ht="16" customHeight="1">
      <c r="B22" s="7" t="inlineStr">
        <is>
          <t>Payments</t>
        </is>
      </c>
      <c r="D22" s="8" t="inlineStr">
        <is>
          <t>Every deposit, balance and due date.</t>
        </is>
      </c>
    </row>
    <row r="23" ht="16" customHeight="1">
      <c r="B23" s="7" t="inlineStr">
        <is>
          <t>Wedding Party</t>
        </is>
      </c>
      <c r="D23" s="8" t="inlineStr">
        <is>
          <t>Roles and responsibilities for your closest circle.</t>
        </is>
      </c>
    </row>
    <row r="24" ht="16" customHeight="1">
      <c r="B24" s="7" t="inlineStr">
        <is>
          <t>Venue Comparison</t>
        </is>
      </c>
      <c r="D24" s="8" t="inlineStr">
        <is>
          <t>Compare every venue you're considering.</t>
        </is>
      </c>
    </row>
    <row r="25" ht="16" customHeight="1">
      <c r="B25" s="7" t="inlineStr">
        <is>
          <t>Food &amp; Drinks</t>
        </is>
      </c>
      <c r="D25" s="8" t="inlineStr">
        <is>
          <t>Plan your menu and catering costs.</t>
        </is>
      </c>
    </row>
    <row r="26" ht="16" customHeight="1">
      <c r="B26" s="7" t="inlineStr">
        <is>
          <t>Honeymoon Budget</t>
        </is>
      </c>
      <c r="D26" s="8" t="inlineStr">
        <is>
          <t>Plan and track your post-wedding getaway.</t>
        </is>
      </c>
    </row>
    <row r="27" ht="16" customHeight="1">
      <c r="B27" s="7" t="inlineStr">
        <is>
          <t>Contacts</t>
        </is>
      </c>
      <c r="D27" s="8" t="inlineStr">
        <is>
          <t>Every phone number and email in one place.</t>
        </is>
      </c>
    </row>
    <row r="28" ht="16" customHeight="1">
      <c r="B28" s="7" t="inlineStr">
        <is>
          <t>Gift Tracker</t>
        </is>
      </c>
      <c r="D28" s="8" t="inlineStr">
        <is>
          <t>Track gifts received and thank-you notes.</t>
        </is>
      </c>
    </row>
    <row r="29" ht="16" customHeight="1">
      <c r="B29" s="7" t="inlineStr">
        <is>
          <t>Calendar</t>
        </is>
      </c>
      <c r="D29" s="8" t="inlineStr">
        <is>
          <t>A chronological view of tasks and payment deadlines.</t>
        </is>
      </c>
    </row>
    <row r="30" ht="16" customHeight="1">
      <c r="B30" s="7" t="inlineStr">
        <is>
          <t>Settings</t>
        </is>
      </c>
      <c r="D30" s="8" t="inlineStr">
        <is>
          <t>Your wedding details, budget and dropdown lists.</t>
        </is>
      </c>
    </row>
  </sheetData>
  <mergeCells count="24">
    <mergeCell ref="D20:H20"/>
    <mergeCell ref="B9:H9"/>
    <mergeCell ref="D19:H19"/>
    <mergeCell ref="B6:H6"/>
    <mergeCell ref="D22:H22"/>
    <mergeCell ref="D21:H21"/>
    <mergeCell ref="D27:H27"/>
    <mergeCell ref="B7:H7"/>
    <mergeCell ref="D17:H17"/>
    <mergeCell ref="D16:H16"/>
    <mergeCell ref="B12:H12"/>
    <mergeCell ref="D28:H28"/>
    <mergeCell ref="B11:H11"/>
    <mergeCell ref="D18:H18"/>
    <mergeCell ref="B8:H8"/>
    <mergeCell ref="B14:H14"/>
    <mergeCell ref="D25:H25"/>
    <mergeCell ref="D30:H30"/>
    <mergeCell ref="D15:H15"/>
    <mergeCell ref="D24:H24"/>
    <mergeCell ref="D29:H29"/>
    <mergeCell ref="D23:H23"/>
    <mergeCell ref="B10:H10"/>
    <mergeCell ref="D26:H26"/>
  </mergeCells>
  <hyperlinks>
    <hyperlink ref="B15" location="'Dashboard'!A1"/>
    <hyperlink ref="B16" location="'Budget'!A1"/>
    <hyperlink ref="B17" location="'Vendors'!A1"/>
    <hyperlink ref="B18" location="'Guest List'!A1"/>
    <hyperlink ref="B19" location="'Seating Plan'!A1"/>
    <hyperlink ref="B20" location="'Timeline'!A1"/>
    <hyperlink ref="B21" location="'Master Checklist'!A1"/>
    <hyperlink ref="B22" location="'Payments'!A1"/>
    <hyperlink ref="B23" location="'Wedding Party'!A1"/>
    <hyperlink ref="B24" location="'Venue Comparison'!A1"/>
    <hyperlink ref="B25" location="'Food &amp; Drinks'!A1"/>
    <hyperlink ref="B26" location="'Honeymoon Budget'!A1"/>
    <hyperlink ref="B27" location="'Contacts'!A1"/>
    <hyperlink ref="B28" location="'Gift Tracker'!A1"/>
    <hyperlink ref="B29" location="'Calendar'!A1"/>
    <hyperlink ref="B30" location="'Settings'!A1"/>
  </hyperlinks>
  <pageMargins left="0.5" right="0.5" top="0.6" bottom="0.6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B89B5E"/>
    <outlinePr summaryBelow="1" summaryRight="1"/>
    <pageSetUpPr fitToPage="1"/>
  </sheetPr>
  <dimension ref="A1:T25"/>
  <sheetViews>
    <sheetView showGridLines="0" zoomScale="85" workbookViewId="0">
      <selection activeCell="A1" sqref="A1"/>
    </sheetView>
  </sheetViews>
  <sheetFormatPr baseColWidth="8" defaultRowHeight="15"/>
  <cols>
    <col width="8.199999999999999" customWidth="1" min="1" max="1"/>
    <col width="8.199999999999999" customWidth="1" min="2" max="2"/>
    <col width="8.199999999999999" customWidth="1" min="3" max="3"/>
    <col width="8.199999999999999" customWidth="1" min="4" max="4"/>
    <col width="8.199999999999999" customWidth="1" min="5" max="5"/>
    <col width="8.199999999999999" customWidth="1" min="6" max="6"/>
    <col width="8.199999999999999" customWidth="1" min="7" max="7"/>
    <col width="8.199999999999999" customWidth="1" min="8" max="8"/>
    <col width="8.199999999999999" customWidth="1" min="9" max="9"/>
    <col width="8.199999999999999" customWidth="1" min="10" max="10"/>
    <col width="8.199999999999999" customWidth="1" min="11" max="11"/>
    <col width="8.199999999999999" customWidth="1" min="12" max="12"/>
    <col width="8.199999999999999" customWidth="1" min="13" max="13"/>
    <col width="8.199999999999999" customWidth="1" min="14" max="14"/>
    <col width="8.199999999999999" customWidth="1" min="15" max="15"/>
    <col width="8.199999999999999" customWidth="1" min="16" max="16"/>
    <col width="8.199999999999999" customWidth="1" min="17" max="17"/>
    <col width="8.199999999999999" customWidth="1" min="18" max="18"/>
    <col width="8.199999999999999" customWidth="1" min="19" max="19"/>
    <col width="8.199999999999999" customWidth="1" min="20" max="20"/>
  </cols>
  <sheetData>
    <row r="1" ht="6" customHeight="1">
      <c r="A1" s="9" t="n"/>
      <c r="B1" s="10" t="inlineStr">
        <is>
          <t>‹ Start Here</t>
        </is>
      </c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</row>
    <row r="2" ht="16" customHeight="1">
      <c r="A2" s="9" t="n"/>
      <c r="B2" s="11" t="inlineStr">
        <is>
          <t>OUR WEDDING</t>
        </is>
      </c>
      <c r="Q2" s="12">
        <f>IF(WeddingDate="","—",IF(WeddingDate&gt;=TODAY(),WeddingDate-TODAY()&amp;" DAYS TO GO",TEXT(WeddingDate,"d mmm yyyy")&amp;" ❦ Married!"))</f>
        <v/>
      </c>
    </row>
    <row r="3" ht="34" customHeight="1">
      <c r="A3" s="9" t="n"/>
      <c r="B3" s="13">
        <f>IF(Partner1Name="","Partner One",Partner1Name)&amp;"  &amp;  "&amp;IF(Partner2Name="","Partner Two",Partner2Name)</f>
        <v/>
      </c>
      <c r="Q3" s="14" t="n"/>
    </row>
    <row r="4" ht="18" customHeight="1">
      <c r="A4" s="9" t="n"/>
      <c r="B4" s="15">
        <f>IF(WeddingDate="","Wedding date not yet set",TEXT(WeddingDate,"dddd, d mmmm yyyy"))</f>
        <v/>
      </c>
      <c r="Q4" s="14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7" t="n"/>
      <c r="R5" s="17" t="n"/>
      <c r="S5" s="17" t="n"/>
      <c r="T5" s="17" t="n"/>
    </row>
    <row r="7">
      <c r="B7" s="5" t="inlineStr">
        <is>
          <t>FINANCIAL SNAPSHOT</t>
        </is>
      </c>
    </row>
    <row r="8">
      <c r="B8" s="18">
        <f>TotalBudget</f>
        <v/>
      </c>
      <c r="C8" s="19" t="n"/>
      <c r="D8" s="20" t="n"/>
      <c r="F8" s="21">
        <f>SUM(Budget!G6:G35)</f>
        <v/>
      </c>
      <c r="G8" s="22" t="n"/>
      <c r="H8" s="23" t="n"/>
      <c r="J8" s="24">
        <f>IF(TotalBudget="","",TotalBudget-SUM(Budget!G6:G35))</f>
        <v/>
      </c>
      <c r="K8" s="25" t="n"/>
      <c r="L8" s="26" t="n"/>
      <c r="N8" s="24">
        <f>SUM(Budget!J6:J35)</f>
        <v/>
      </c>
      <c r="O8" s="25" t="n"/>
      <c r="P8" s="26" t="n"/>
      <c r="R8" s="27">
        <f>SUM(Budget!K6:K35)</f>
        <v/>
      </c>
      <c r="S8" s="28" t="n"/>
      <c r="T8" s="29" t="n"/>
    </row>
    <row r="9">
      <c r="B9" s="30" t="n"/>
      <c r="C9" s="31" t="n"/>
      <c r="D9" s="32" t="n"/>
      <c r="F9" s="30" t="n"/>
      <c r="G9" s="31" t="n"/>
      <c r="H9" s="32" t="n"/>
      <c r="J9" s="30" t="n"/>
      <c r="K9" s="31" t="n"/>
      <c r="L9" s="32" t="n"/>
      <c r="N9" s="30" t="n"/>
      <c r="O9" s="31" t="n"/>
      <c r="P9" s="32" t="n"/>
      <c r="R9" s="30" t="n"/>
      <c r="S9" s="31" t="n"/>
      <c r="T9" s="32" t="n"/>
    </row>
    <row r="10">
      <c r="B10" s="33" t="inlineStr">
        <is>
          <t>TOTAL BUDGET</t>
        </is>
      </c>
      <c r="C10" s="34" t="n"/>
      <c r="D10" s="35" t="n"/>
      <c r="F10" s="33" t="inlineStr">
        <is>
          <t>ACTUAL SPENDING</t>
        </is>
      </c>
      <c r="G10" s="34" t="n"/>
      <c r="H10" s="35" t="n"/>
      <c r="J10" s="33" t="inlineStr">
        <is>
          <t>REMAINING BUDGET</t>
        </is>
      </c>
      <c r="K10" s="34" t="n"/>
      <c r="L10" s="35" t="n"/>
      <c r="N10" s="33" t="inlineStr">
        <is>
          <t>AMOUNT PAID</t>
        </is>
      </c>
      <c r="O10" s="34" t="n"/>
      <c r="P10" s="35" t="n"/>
      <c r="R10" s="33" t="inlineStr">
        <is>
          <t>OUTSTANDING</t>
        </is>
      </c>
      <c r="S10" s="34" t="n"/>
      <c r="T10" s="35" t="n"/>
    </row>
    <row r="12">
      <c r="B12" s="5" t="inlineStr">
        <is>
          <t>GUEST SNAPSHOT</t>
        </is>
      </c>
    </row>
    <row r="13">
      <c r="B13" s="36">
        <f>COUNTA('Guest List'!B6:B65)</f>
        <v/>
      </c>
      <c r="C13" s="19" t="n"/>
      <c r="D13" s="20" t="n"/>
      <c r="F13" s="37">
        <f>COUNTIF('Guest List'!I6:I65,"Attending")</f>
        <v/>
      </c>
      <c r="G13" s="25" t="n"/>
      <c r="H13" s="26" t="n"/>
      <c r="J13" s="38">
        <f>COUNTIF('Guest List'!I6:I65,"Pending")</f>
        <v/>
      </c>
      <c r="K13" s="28" t="n"/>
      <c r="L13" s="29" t="n"/>
      <c r="N13" s="36">
        <f>COUNTIF('Guest List'!I6:I65,"Declined")</f>
        <v/>
      </c>
      <c r="O13" s="19" t="n"/>
      <c r="P13" s="20" t="n"/>
      <c r="R13" s="39">
        <f>COUNTA(Vendors!B6:B31)</f>
        <v/>
      </c>
      <c r="S13" s="22" t="n"/>
      <c r="T13" s="23" t="n"/>
    </row>
    <row r="14">
      <c r="B14" s="30" t="n"/>
      <c r="C14" s="31" t="n"/>
      <c r="D14" s="32" t="n"/>
      <c r="F14" s="30" t="n"/>
      <c r="G14" s="31" t="n"/>
      <c r="H14" s="32" t="n"/>
      <c r="J14" s="30" t="n"/>
      <c r="K14" s="31" t="n"/>
      <c r="L14" s="32" t="n"/>
      <c r="N14" s="30" t="n"/>
      <c r="O14" s="31" t="n"/>
      <c r="P14" s="32" t="n"/>
      <c r="R14" s="30" t="n"/>
      <c r="S14" s="31" t="n"/>
      <c r="T14" s="32" t="n"/>
    </row>
    <row r="15">
      <c r="B15" s="33" t="inlineStr">
        <is>
          <t>TOTAL GUESTS</t>
        </is>
      </c>
      <c r="C15" s="34" t="n"/>
      <c r="D15" s="35" t="n"/>
      <c r="F15" s="33" t="inlineStr">
        <is>
          <t>CONFIRMED</t>
        </is>
      </c>
      <c r="G15" s="34" t="n"/>
      <c r="H15" s="35" t="n"/>
      <c r="J15" s="33" t="inlineStr">
        <is>
          <t>PENDING RSVPS</t>
        </is>
      </c>
      <c r="K15" s="34" t="n"/>
      <c r="L15" s="35" t="n"/>
      <c r="N15" s="33" t="inlineStr">
        <is>
          <t>NOT ATTENDING</t>
        </is>
      </c>
      <c r="O15" s="34" t="n"/>
      <c r="P15" s="35" t="n"/>
      <c r="R15" s="33" t="inlineStr">
        <is>
          <t>VENDORS BOOKED</t>
        </is>
      </c>
      <c r="S15" s="34" t="n"/>
      <c r="T15" s="35" t="n"/>
    </row>
    <row r="17">
      <c r="B17" s="5" t="inlineStr">
        <is>
          <t>PLANNING PROGRESS &amp; HONEYMOON</t>
        </is>
      </c>
    </row>
    <row r="18">
      <c r="B18" s="40">
        <f>IFERROR(COUNTIF('Master Checklist'!H6:H65,"Completed")/(COUNTA('Master Checklist'!C6:C65)),"")</f>
        <v/>
      </c>
      <c r="C18" s="25" t="n"/>
      <c r="D18" s="26" t="n"/>
      <c r="F18" s="38">
        <f>COUNTIFS('Master Checklist'!C6:C65,"&lt;&gt;",'Master Checklist'!H6:H65,"&lt;&gt;Completed")</f>
        <v/>
      </c>
      <c r="G18" s="28" t="n"/>
      <c r="H18" s="29" t="n"/>
      <c r="J18" s="27">
        <f>SUM(Vendors!K6:K31)</f>
        <v/>
      </c>
      <c r="K18" s="28" t="n"/>
      <c r="L18" s="29" t="n"/>
      <c r="N18" s="18">
        <f>HoneymoonBudgetSetting</f>
        <v/>
      </c>
      <c r="O18" s="19" t="n"/>
      <c r="P18" s="20" t="n"/>
      <c r="R18" s="24">
        <f>SUM('Honeymoon Budget'!G6:G15)</f>
        <v/>
      </c>
      <c r="S18" s="25" t="n"/>
      <c r="T18" s="26" t="n"/>
    </row>
    <row r="19">
      <c r="B19" s="30" t="n"/>
      <c r="C19" s="31" t="n"/>
      <c r="D19" s="32" t="n"/>
      <c r="F19" s="30" t="n"/>
      <c r="G19" s="31" t="n"/>
      <c r="H19" s="32" t="n"/>
      <c r="J19" s="30" t="n"/>
      <c r="K19" s="31" t="n"/>
      <c r="L19" s="32" t="n"/>
      <c r="N19" s="30" t="n"/>
      <c r="O19" s="31" t="n"/>
      <c r="P19" s="32" t="n"/>
      <c r="R19" s="30" t="n"/>
      <c r="S19" s="31" t="n"/>
      <c r="T19" s="32" t="n"/>
    </row>
    <row r="20">
      <c r="B20" s="33" t="inlineStr">
        <is>
          <t>CHECKLIST COMPLETE</t>
        </is>
      </c>
      <c r="C20" s="34" t="n"/>
      <c r="D20" s="35" t="n"/>
      <c r="F20" s="33" t="inlineStr">
        <is>
          <t>TASKS REMAINING</t>
        </is>
      </c>
      <c r="G20" s="34" t="n"/>
      <c r="H20" s="35" t="n"/>
      <c r="J20" s="33" t="inlineStr">
        <is>
          <t>OUTSTANDING VENDOR PMTS</t>
        </is>
      </c>
      <c r="K20" s="34" t="n"/>
      <c r="L20" s="35" t="n"/>
      <c r="N20" s="33" t="inlineStr">
        <is>
          <t>HONEYMOON BUDGET</t>
        </is>
      </c>
      <c r="O20" s="34" t="n"/>
      <c r="P20" s="35" t="n"/>
      <c r="R20" s="33" t="inlineStr">
        <is>
          <t>HONEYMOON REMAINING</t>
        </is>
      </c>
      <c r="S20" s="34" t="n"/>
      <c r="T20" s="35" t="n"/>
    </row>
    <row r="22">
      <c r="B22" s="5" t="inlineStr">
        <is>
          <t>ATTENTION NEEDED</t>
        </is>
      </c>
    </row>
    <row r="23">
      <c r="B23" s="36">
        <f>COUNTIFS(Payments!H6:H29,"&lt;&gt;",Payments!H6:H29,"&lt;"&amp;TODAY(),Payments!I6:I29,"&lt;&gt;Paid in Full")</f>
        <v/>
      </c>
      <c r="C23" s="19" t="n"/>
      <c r="D23" s="20" t="n"/>
      <c r="F23" s="38">
        <f>COUNTIF('Guest List'!I6:I65,"Pending")</f>
        <v/>
      </c>
      <c r="G23" s="28" t="n"/>
      <c r="H23" s="29" t="n"/>
      <c r="J23" s="36">
        <f>COUNTIFS('Master Checklist'!G6:G65,"&lt;&gt;",'Master Checklist'!G6:G65,"&lt;"&amp;TODAY(),'Master Checklist'!H6:H65,"&lt;&gt;Completed")</f>
        <v/>
      </c>
      <c r="K23" s="19" t="n"/>
      <c r="L23" s="20" t="n"/>
      <c r="N23" s="36">
        <f>SUMPRODUCT((Lists!$X$2:$X$21&gt;Lists!$W$2:$W$21)*1)</f>
        <v/>
      </c>
      <c r="O23" s="19" t="n"/>
      <c r="P23" s="20" t="n"/>
    </row>
    <row r="24">
      <c r="B24" s="30" t="n"/>
      <c r="C24" s="31" t="n"/>
      <c r="D24" s="32" t="n"/>
      <c r="F24" s="30" t="n"/>
      <c r="G24" s="31" t="n"/>
      <c r="H24" s="32" t="n"/>
      <c r="J24" s="30" t="n"/>
      <c r="K24" s="31" t="n"/>
      <c r="L24" s="32" t="n"/>
      <c r="N24" s="30" t="n"/>
      <c r="O24" s="31" t="n"/>
      <c r="P24" s="32" t="n"/>
    </row>
    <row r="25">
      <c r="B25" s="33" t="inlineStr">
        <is>
          <t>OVERDUE PAYMENTS</t>
        </is>
      </c>
      <c r="C25" s="34" t="n"/>
      <c r="D25" s="35" t="n"/>
      <c r="F25" s="33" t="inlineStr">
        <is>
          <t>PENDING RSVPS</t>
        </is>
      </c>
      <c r="G25" s="34" t="n"/>
      <c r="H25" s="35" t="n"/>
      <c r="J25" s="33" t="inlineStr">
        <is>
          <t>OVERDUE TASKS</t>
        </is>
      </c>
      <c r="K25" s="34" t="n"/>
      <c r="L25" s="35" t="n"/>
      <c r="N25" s="33" t="inlineStr">
        <is>
          <t>OVER-BUDGET CATEGORIES</t>
        </is>
      </c>
      <c r="O25" s="34" t="n"/>
      <c r="P25" s="35" t="n"/>
    </row>
  </sheetData>
  <mergeCells count="42">
    <mergeCell ref="F20:H20"/>
    <mergeCell ref="R15:T15"/>
    <mergeCell ref="B2:P2"/>
    <mergeCell ref="J8:L9"/>
    <mergeCell ref="J20:L20"/>
    <mergeCell ref="R8:T9"/>
    <mergeCell ref="R20:T20"/>
    <mergeCell ref="B10:D10"/>
    <mergeCell ref="J25:L25"/>
    <mergeCell ref="J23:L24"/>
    <mergeCell ref="N10:P10"/>
    <mergeCell ref="J13:L14"/>
    <mergeCell ref="R13:T14"/>
    <mergeCell ref="B18:D19"/>
    <mergeCell ref="N18:P19"/>
    <mergeCell ref="B15:D15"/>
    <mergeCell ref="B8:D9"/>
    <mergeCell ref="B20:D20"/>
    <mergeCell ref="N15:P15"/>
    <mergeCell ref="F18:H19"/>
    <mergeCell ref="B23:D24"/>
    <mergeCell ref="F8:H9"/>
    <mergeCell ref="B13:D14"/>
    <mergeCell ref="B4:P4"/>
    <mergeCell ref="N8:P9"/>
    <mergeCell ref="Q2:T5"/>
    <mergeCell ref="N20:P20"/>
    <mergeCell ref="B25:D25"/>
    <mergeCell ref="F25:H25"/>
    <mergeCell ref="F10:H10"/>
    <mergeCell ref="F23:H24"/>
    <mergeCell ref="N25:P25"/>
    <mergeCell ref="N23:P24"/>
    <mergeCell ref="J10:L10"/>
    <mergeCell ref="R10:T10"/>
    <mergeCell ref="B3:P3"/>
    <mergeCell ref="F13:H14"/>
    <mergeCell ref="N13:P14"/>
    <mergeCell ref="R18:T19"/>
    <mergeCell ref="F15:H15"/>
    <mergeCell ref="J18:L19"/>
    <mergeCell ref="J15:L15"/>
  </mergeCells>
  <hyperlinks>
    <hyperlink ref="B1" location="'START HERE'!A1"/>
  </hyperlinks>
  <pageMargins left="0.3" right="0.3" top="0.4" bottom="0.4" header="0.5" footer="0.5"/>
  <pageSetup orientation="landscape" fitToHeight="0" fitToWidth="1"/>
  <rowBreaks count="1" manualBreakCount="1">
    <brk id="44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8F91"/>
    <outlinePr summaryBelow="1" summaryRight="1"/>
    <pageSetUpPr fitToPage="1"/>
  </sheetPr>
  <dimension ref="A1:N40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20" customWidth="1" min="3" max="3"/>
    <col width="30" customWidth="1" min="4" max="4"/>
    <col width="22" customWidth="1" min="5" max="5"/>
    <col width="16" customWidth="1" min="6" max="6"/>
    <col width="15" customWidth="1" min="7" max="7"/>
    <col width="15" customWidth="1" min="8" max="8"/>
    <col width="13" customWidth="1" min="9" max="9"/>
    <col width="15" customWidth="1" min="10" max="10"/>
    <col width="18" customWidth="1" min="11" max="11"/>
    <col width="14" customWidth="1" min="12" max="12"/>
    <col width="16" customWidth="1" min="13" max="13"/>
    <col width="24" customWidth="1" min="14" max="14"/>
  </cols>
  <sheetData>
    <row r="1" ht="8" customHeight="1">
      <c r="A1" s="9" t="n"/>
      <c r="B1" s="10" t="inlineStr">
        <is>
          <t>‹ Dashboard</t>
        </is>
      </c>
      <c r="C1" s="10" t="inlineStr">
        <is>
          <t>‹ Start Here</t>
        </is>
      </c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</row>
    <row r="2" ht="30" customHeight="1">
      <c r="A2" s="9" t="n"/>
      <c r="B2" s="41" t="inlineStr">
        <is>
          <t>BUDGET &amp; EXPENSES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20" customHeight="1">
      <c r="A3" s="16" t="n"/>
      <c r="B3" s="42" t="inlineStr">
        <is>
          <t>Track your wedding spending and stay within your plan.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</row>
    <row r="5">
      <c r="B5" s="43" t="inlineStr">
        <is>
          <t>Category</t>
        </is>
      </c>
      <c r="C5" s="43" t="inlineStr">
        <is>
          <t>Subcategory</t>
        </is>
      </c>
      <c r="D5" s="43" t="inlineStr">
        <is>
          <t>Item / Description</t>
        </is>
      </c>
      <c r="E5" s="43" t="inlineStr">
        <is>
          <t>Vendor</t>
        </is>
      </c>
      <c r="F5" s="43" t="inlineStr">
        <is>
          <t>Planned Budget</t>
        </is>
      </c>
      <c r="G5" s="43" t="inlineStr">
        <is>
          <t>Actual Cost</t>
        </is>
      </c>
      <c r="H5" s="43" t="inlineStr">
        <is>
          <t>Difference</t>
        </is>
      </c>
      <c r="I5" s="43" t="inlineStr">
        <is>
          <t>Deposit</t>
        </is>
      </c>
      <c r="J5" s="43" t="inlineStr">
        <is>
          <t>Amount Paid</t>
        </is>
      </c>
      <c r="K5" s="43" t="inlineStr">
        <is>
          <t>Amount Remaining</t>
        </is>
      </c>
      <c r="L5" s="43" t="inlineStr">
        <is>
          <t>Due Date</t>
        </is>
      </c>
      <c r="M5" s="43" t="inlineStr">
        <is>
          <t>Payment Status</t>
        </is>
      </c>
      <c r="N5" s="43" t="inlineStr">
        <is>
          <t>Notes</t>
        </is>
      </c>
    </row>
    <row r="6" ht="20" customHeight="1">
      <c r="B6" s="44" t="inlineStr">
        <is>
          <t>Venue</t>
        </is>
      </c>
      <c r="C6" s="44" t="inlineStr">
        <is>
          <t>Ceremony &amp; Reception</t>
        </is>
      </c>
      <c r="D6" s="45" t="inlineStr">
        <is>
          <t>Vineyard estate rental — full day</t>
        </is>
      </c>
      <c r="E6" s="44" t="inlineStr">
        <is>
          <t>Silver Oak Estate</t>
        </is>
      </c>
      <c r="F6" s="46" t="n">
        <v>12000</v>
      </c>
      <c r="G6" s="46" t="n">
        <v>12000</v>
      </c>
      <c r="H6" s="46">
        <f>IF(F6="","",F6-G6)</f>
        <v/>
      </c>
      <c r="I6" s="46" t="n">
        <v>6000</v>
      </c>
      <c r="J6" s="46" t="n">
        <v>12000</v>
      </c>
      <c r="K6" s="46">
        <f>IF(G6="","",G6-J6)</f>
        <v/>
      </c>
      <c r="L6" s="47" t="inlineStr">
        <is>
          <t>2027-01-15</t>
        </is>
      </c>
      <c r="M6" s="48" t="inlineStr">
        <is>
          <t>Paid in Full</t>
        </is>
      </c>
      <c r="N6" s="45" t="inlineStr"/>
    </row>
    <row r="7" ht="20" customHeight="1">
      <c r="B7" s="44" t="inlineStr">
        <is>
          <t>Venue</t>
        </is>
      </c>
      <c r="C7" s="44" t="inlineStr">
        <is>
          <t>Ceremony &amp; Reception</t>
        </is>
      </c>
      <c r="D7" s="45" t="inlineStr">
        <is>
          <t>Site fee &amp; coordinator</t>
        </is>
      </c>
      <c r="E7" s="44" t="inlineStr">
        <is>
          <t>Silver Oak Estate</t>
        </is>
      </c>
      <c r="F7" s="46" t="n">
        <v>1500</v>
      </c>
      <c r="G7" s="46" t="n">
        <v>1500</v>
      </c>
      <c r="H7" s="46">
        <f>IF(F7="","",F7-G7)</f>
        <v/>
      </c>
      <c r="I7" s="46" t="n">
        <v>750</v>
      </c>
      <c r="J7" s="46" t="n">
        <v>1500</v>
      </c>
      <c r="K7" s="46">
        <f>IF(G7="","",G7-J7)</f>
        <v/>
      </c>
      <c r="L7" s="47" t="inlineStr">
        <is>
          <t>2027-01-15</t>
        </is>
      </c>
      <c r="M7" s="48" t="inlineStr">
        <is>
          <t>Paid in Full</t>
        </is>
      </c>
      <c r="N7" s="45" t="inlineStr"/>
    </row>
    <row r="8" ht="34" customHeight="1">
      <c r="B8" s="44" t="inlineStr">
        <is>
          <t>Catering</t>
        </is>
      </c>
      <c r="C8" s="44" t="inlineStr">
        <is>
          <t>Dinner Service</t>
        </is>
      </c>
      <c r="D8" s="45" t="inlineStr">
        <is>
          <t>Plated 3-course dinner (150 guests)</t>
        </is>
      </c>
      <c r="E8" s="44" t="inlineStr">
        <is>
          <t>Harvest Table Catering</t>
        </is>
      </c>
      <c r="F8" s="46" t="n">
        <v>9500</v>
      </c>
      <c r="G8" s="46" t="n">
        <v>9750</v>
      </c>
      <c r="H8" s="46">
        <f>IF(F8="","",F8-G8)</f>
        <v/>
      </c>
      <c r="I8" s="46" t="n">
        <v>3000</v>
      </c>
      <c r="J8" s="46" t="n">
        <v>6000</v>
      </c>
      <c r="K8" s="46">
        <f>IF(G8="","",G8-J8)</f>
        <v/>
      </c>
      <c r="L8" s="47" t="inlineStr">
        <is>
          <t>2027-03-01</t>
        </is>
      </c>
      <c r="M8" s="48" t="inlineStr">
        <is>
          <t>Deposit Paid</t>
        </is>
      </c>
      <c r="N8" s="45" t="inlineStr"/>
    </row>
    <row r="9" ht="20" customHeight="1">
      <c r="B9" s="44" t="inlineStr">
        <is>
          <t>Catering</t>
        </is>
      </c>
      <c r="C9" s="44" t="inlineStr">
        <is>
          <t>Bar Service</t>
        </is>
      </c>
      <c r="D9" s="45" t="inlineStr">
        <is>
          <t>Open bar, 5 hours</t>
        </is>
      </c>
      <c r="E9" s="44" t="inlineStr">
        <is>
          <t>Harvest Table Catering</t>
        </is>
      </c>
      <c r="F9" s="46" t="n">
        <v>3200</v>
      </c>
      <c r="G9" s="46" t="n">
        <v>3350</v>
      </c>
      <c r="H9" s="46">
        <f>IF(F9="","",F9-G9)</f>
        <v/>
      </c>
      <c r="I9" s="46" t="n">
        <v>1000</v>
      </c>
      <c r="J9" s="46" t="n">
        <v>3350</v>
      </c>
      <c r="K9" s="46">
        <f>IF(G9="","",G9-J9)</f>
        <v/>
      </c>
      <c r="L9" s="47" t="inlineStr">
        <is>
          <t>2027-03-01</t>
        </is>
      </c>
      <c r="M9" s="48" t="inlineStr">
        <is>
          <t>Paid in Full</t>
        </is>
      </c>
      <c r="N9" s="45" t="inlineStr"/>
    </row>
    <row r="10" ht="34" customHeight="1">
      <c r="B10" s="44" t="inlineStr">
        <is>
          <t>Photography</t>
        </is>
      </c>
      <c r="C10" s="44" t="inlineStr">
        <is>
          <t>Full Day Coverage</t>
        </is>
      </c>
      <c r="D10" s="45" t="inlineStr">
        <is>
          <t>10-hour wedding photography package</t>
        </is>
      </c>
      <c r="E10" s="44" t="inlineStr">
        <is>
          <t>Golden Hour Photo Co.</t>
        </is>
      </c>
      <c r="F10" s="46" t="n">
        <v>3800</v>
      </c>
      <c r="G10" s="46" t="n">
        <v>3800</v>
      </c>
      <c r="H10" s="46">
        <f>IF(F10="","",F10-G10)</f>
        <v/>
      </c>
      <c r="I10" s="46" t="n">
        <v>1000</v>
      </c>
      <c r="J10" s="46" t="n">
        <v>1900</v>
      </c>
      <c r="K10" s="46">
        <f>IF(G10="","",G10-J10)</f>
        <v/>
      </c>
      <c r="L10" s="47" t="inlineStr">
        <is>
          <t>2027-02-01</t>
        </is>
      </c>
      <c r="M10" s="48" t="inlineStr">
        <is>
          <t>Deposit Paid</t>
        </is>
      </c>
      <c r="N10" s="45" t="inlineStr"/>
    </row>
    <row r="11" ht="34" customHeight="1">
      <c r="B11" s="44" t="inlineStr">
        <is>
          <t>Videography</t>
        </is>
      </c>
      <c r="C11" s="44" t="inlineStr">
        <is>
          <t>Highlight Film</t>
        </is>
      </c>
      <c r="D11" s="45" t="inlineStr">
        <is>
          <t>Cinematic highlight film + full ceremony</t>
        </is>
      </c>
      <c r="E11" s="44" t="inlineStr">
        <is>
          <t>Lumière Films</t>
        </is>
      </c>
      <c r="F11" s="46" t="n">
        <v>2600</v>
      </c>
      <c r="G11" s="46" t="n">
        <v>2600</v>
      </c>
      <c r="H11" s="46">
        <f>IF(F11="","",F11-G11)</f>
        <v/>
      </c>
      <c r="I11" s="46" t="n">
        <v>800</v>
      </c>
      <c r="J11" s="46" t="n">
        <v>800</v>
      </c>
      <c r="K11" s="46">
        <f>IF(G11="","",G11-J11)</f>
        <v/>
      </c>
      <c r="L11" s="47" t="inlineStr">
        <is>
          <t>2027-02-01</t>
        </is>
      </c>
      <c r="M11" s="48" t="inlineStr">
        <is>
          <t>Deposit Paid</t>
        </is>
      </c>
      <c r="N11" s="45" t="inlineStr"/>
    </row>
    <row r="12" ht="20" customHeight="1">
      <c r="B12" s="44" t="inlineStr">
        <is>
          <t>Attire</t>
        </is>
      </c>
      <c r="C12" s="44" t="inlineStr">
        <is>
          <t>Wedding Dress</t>
        </is>
      </c>
      <c r="D12" s="45" t="inlineStr">
        <is>
          <t>Designer gown + alterations</t>
        </is>
      </c>
      <c r="E12" s="44" t="inlineStr">
        <is>
          <t>Maison Everly Bridal</t>
        </is>
      </c>
      <c r="F12" s="46" t="n">
        <v>2800</v>
      </c>
      <c r="G12" s="46" t="n">
        <v>2950</v>
      </c>
      <c r="H12" s="46">
        <f>IF(F12="","",F12-G12)</f>
        <v/>
      </c>
      <c r="I12" s="46" t="n">
        <v>500</v>
      </c>
      <c r="J12" s="46" t="n">
        <v>2950</v>
      </c>
      <c r="K12" s="46">
        <f>IF(G12="","",G12-J12)</f>
        <v/>
      </c>
      <c r="L12" s="47" t="inlineStr">
        <is>
          <t>2026-11-01</t>
        </is>
      </c>
      <c r="M12" s="48" t="inlineStr">
        <is>
          <t>Paid in Full</t>
        </is>
      </c>
      <c r="N12" s="45" t="inlineStr"/>
    </row>
    <row r="13" ht="20" customHeight="1">
      <c r="B13" s="44" t="inlineStr">
        <is>
          <t>Attire</t>
        </is>
      </c>
      <c r="C13" s="44" t="inlineStr">
        <is>
          <t>Groom Suit</t>
        </is>
      </c>
      <c r="D13" s="45" t="inlineStr">
        <is>
          <t>Tailored suit + accessories</t>
        </is>
      </c>
      <c r="E13" s="44" t="inlineStr">
        <is>
          <t>Sartorial House</t>
        </is>
      </c>
      <c r="F13" s="46" t="n">
        <v>900</v>
      </c>
      <c r="G13" s="46" t="n">
        <v>875</v>
      </c>
      <c r="H13" s="46">
        <f>IF(F13="","",F13-G13)</f>
        <v/>
      </c>
      <c r="I13" s="46" t="n">
        <v>200</v>
      </c>
      <c r="J13" s="46" t="n">
        <v>875</v>
      </c>
      <c r="K13" s="46">
        <f>IF(G13="","",G13-J13)</f>
        <v/>
      </c>
      <c r="L13" s="47" t="inlineStr">
        <is>
          <t>2026-11-15</t>
        </is>
      </c>
      <c r="M13" s="48" t="inlineStr">
        <is>
          <t>Paid in Full</t>
        </is>
      </c>
      <c r="N13" s="45" t="inlineStr"/>
    </row>
    <row r="14" ht="20" customHeight="1">
      <c r="B14" s="44" t="inlineStr">
        <is>
          <t>Beauty</t>
        </is>
      </c>
      <c r="C14" s="44" t="inlineStr">
        <is>
          <t>Hair &amp; Makeup</t>
        </is>
      </c>
      <c r="D14" s="45" t="inlineStr">
        <is>
          <t>Bridal party hair + makeup, day of</t>
        </is>
      </c>
      <c r="E14" s="44" t="inlineStr">
        <is>
          <t>Bloom Beauty Studio</t>
        </is>
      </c>
      <c r="F14" s="46" t="n">
        <v>1400</v>
      </c>
      <c r="G14" s="46" t="n">
        <v>1450</v>
      </c>
      <c r="H14" s="46">
        <f>IF(F14="","",F14-G14)</f>
        <v/>
      </c>
      <c r="I14" s="46" t="n">
        <v>300</v>
      </c>
      <c r="J14" s="46" t="n">
        <v>300</v>
      </c>
      <c r="K14" s="46">
        <f>IF(G14="","",G14-J14)</f>
        <v/>
      </c>
      <c r="L14" s="47" t="inlineStr">
        <is>
          <t>2027-05-01</t>
        </is>
      </c>
      <c r="M14" s="48" t="inlineStr">
        <is>
          <t>Deposit Paid</t>
        </is>
      </c>
      <c r="N14" s="45" t="inlineStr"/>
    </row>
    <row r="15" ht="34" customHeight="1">
      <c r="B15" s="44" t="inlineStr">
        <is>
          <t>Flowers</t>
        </is>
      </c>
      <c r="C15" s="44" t="inlineStr">
        <is>
          <t>Ceremony &amp; Reception Florals</t>
        </is>
      </c>
      <c r="D15" s="45" t="inlineStr">
        <is>
          <t>Bouquets, centerpieces, arch florals</t>
        </is>
      </c>
      <c r="E15" s="44" t="inlineStr">
        <is>
          <t>Wildroot Floral Design</t>
        </is>
      </c>
      <c r="F15" s="46" t="n">
        <v>4200</v>
      </c>
      <c r="G15" s="46" t="n">
        <v>4400</v>
      </c>
      <c r="H15" s="46">
        <f>IF(F15="","",F15-G15)</f>
        <v/>
      </c>
      <c r="I15" s="46" t="n">
        <v>1200</v>
      </c>
      <c r="J15" s="46" t="n">
        <v>2200</v>
      </c>
      <c r="K15" s="46">
        <f>IF(G15="","",G15-J15)</f>
        <v/>
      </c>
      <c r="L15" s="47" t="inlineStr">
        <is>
          <t>2027-04-01</t>
        </is>
      </c>
      <c r="M15" s="48" t="inlineStr">
        <is>
          <t>Deposit Paid</t>
        </is>
      </c>
      <c r="N15" s="45" t="inlineStr"/>
    </row>
    <row r="16" ht="20" customHeight="1">
      <c r="B16" s="44" t="inlineStr">
        <is>
          <t>Decor</t>
        </is>
      </c>
      <c r="C16" s="44" t="inlineStr">
        <is>
          <t>Reception Styling</t>
        </is>
      </c>
      <c r="D16" s="45" t="inlineStr">
        <is>
          <t>Linens, lounge furniture, lighting</t>
        </is>
      </c>
      <c r="E16" s="44" t="inlineStr">
        <is>
          <t>Ember &amp; Ivy Events</t>
        </is>
      </c>
      <c r="F16" s="46" t="n">
        <v>3100</v>
      </c>
      <c r="G16" s="46" t="n">
        <v>3050</v>
      </c>
      <c r="H16" s="46">
        <f>IF(F16="","",F16-G16)</f>
        <v/>
      </c>
      <c r="I16" s="46" t="n">
        <v>800</v>
      </c>
      <c r="J16" s="46" t="n">
        <v>1500</v>
      </c>
      <c r="K16" s="46">
        <f>IF(G16="","",G16-J16)</f>
        <v/>
      </c>
      <c r="L16" s="47" t="inlineStr">
        <is>
          <t>2027-04-01</t>
        </is>
      </c>
      <c r="M16" s="48" t="inlineStr">
        <is>
          <t>Deposit Paid</t>
        </is>
      </c>
      <c r="N16" s="45" t="inlineStr"/>
    </row>
    <row r="17" ht="20" customHeight="1">
      <c r="B17" s="44" t="inlineStr">
        <is>
          <t>Entertainment</t>
        </is>
      </c>
      <c r="C17" s="44" t="inlineStr">
        <is>
          <t>DJ &amp; MC</t>
        </is>
      </c>
      <c r="D17" s="45" t="inlineStr">
        <is>
          <t>6-hour DJ package with MC services</t>
        </is>
      </c>
      <c r="E17" s="44" t="inlineStr">
        <is>
          <t>Skyline Sound Co.</t>
        </is>
      </c>
      <c r="F17" s="46" t="n">
        <v>1800</v>
      </c>
      <c r="G17" s="46" t="n">
        <v>1800</v>
      </c>
      <c r="H17" s="46">
        <f>IF(F17="","",F17-G17)</f>
        <v/>
      </c>
      <c r="I17" s="46" t="n">
        <v>400</v>
      </c>
      <c r="J17" s="46" t="n">
        <v>900</v>
      </c>
      <c r="K17" s="46">
        <f>IF(G17="","",G17-J17)</f>
        <v/>
      </c>
      <c r="L17" s="47" t="inlineStr">
        <is>
          <t>2027-03-15</t>
        </is>
      </c>
      <c r="M17" s="48" t="inlineStr">
        <is>
          <t>Deposit Paid</t>
        </is>
      </c>
      <c r="N17" s="45" t="inlineStr"/>
    </row>
    <row r="18" ht="20" customHeight="1">
      <c r="B18" s="44" t="inlineStr">
        <is>
          <t>Music</t>
        </is>
      </c>
      <c r="C18" s="44" t="inlineStr">
        <is>
          <t>Ceremony Strings</t>
        </is>
      </c>
      <c r="D18" s="45" t="inlineStr">
        <is>
          <t>String quartet, ceremony</t>
        </is>
      </c>
      <c r="E18" s="44" t="inlineStr">
        <is>
          <t>Napa String Quartet</t>
        </is>
      </c>
      <c r="F18" s="46" t="n">
        <v>900</v>
      </c>
      <c r="G18" s="46" t="n">
        <v>900</v>
      </c>
      <c r="H18" s="46">
        <f>IF(F18="","",F18-G18)</f>
        <v/>
      </c>
      <c r="I18" s="46" t="n">
        <v>200</v>
      </c>
      <c r="J18" s="46" t="n">
        <v>900</v>
      </c>
      <c r="K18" s="46">
        <f>IF(G18="","",G18-J18)</f>
        <v/>
      </c>
      <c r="L18" s="47" t="inlineStr">
        <is>
          <t>2027-04-15</t>
        </is>
      </c>
      <c r="M18" s="48" t="inlineStr">
        <is>
          <t>Paid in Full</t>
        </is>
      </c>
      <c r="N18" s="45" t="inlineStr"/>
    </row>
    <row r="19" ht="20" customHeight="1">
      <c r="B19" s="44" t="inlineStr">
        <is>
          <t>Transportation</t>
        </is>
      </c>
      <c r="C19" s="44" t="inlineStr">
        <is>
          <t>Guest Shuttles</t>
        </is>
      </c>
      <c r="D19" s="45" t="inlineStr">
        <is>
          <t>Shuttle service, 2 routes</t>
        </is>
      </c>
      <c r="E19" s="44" t="inlineStr">
        <is>
          <t>Valley Transit Co.</t>
        </is>
      </c>
      <c r="F19" s="46" t="n">
        <v>1200</v>
      </c>
      <c r="G19" s="46" t="n">
        <v>1150</v>
      </c>
      <c r="H19" s="46">
        <f>IF(F19="","",F19-G19)</f>
        <v/>
      </c>
      <c r="I19" s="46" t="n">
        <v>0</v>
      </c>
      <c r="J19" s="46" t="n">
        <v>1150</v>
      </c>
      <c r="K19" s="46">
        <f>IF(G19="","",G19-J19)</f>
        <v/>
      </c>
      <c r="L19" s="47" t="inlineStr">
        <is>
          <t>2027-05-20</t>
        </is>
      </c>
      <c r="M19" s="48" t="inlineStr">
        <is>
          <t>Paid in Full</t>
        </is>
      </c>
      <c r="N19" s="45" t="inlineStr"/>
    </row>
    <row r="20" ht="20" customHeight="1">
      <c r="B20" s="44" t="inlineStr">
        <is>
          <t>Invitations</t>
        </is>
      </c>
      <c r="C20" s="44" t="inlineStr">
        <is>
          <t>Save-the-Dates</t>
        </is>
      </c>
      <c r="D20" s="45" t="inlineStr">
        <is>
          <t>Printed &amp; mailed save-the-dates</t>
        </is>
      </c>
      <c r="E20" s="44" t="inlineStr">
        <is>
          <t>Paperie &amp; Pine</t>
        </is>
      </c>
      <c r="F20" s="46" t="n">
        <v>650</v>
      </c>
      <c r="G20" s="46" t="n">
        <v>620</v>
      </c>
      <c r="H20" s="46">
        <f>IF(F20="","",F20-G20)</f>
        <v/>
      </c>
      <c r="I20" s="46" t="n">
        <v>0</v>
      </c>
      <c r="J20" s="46" t="n">
        <v>620</v>
      </c>
      <c r="K20" s="46">
        <f>IF(G20="","",G20-J20)</f>
        <v/>
      </c>
      <c r="L20" s="47" t="inlineStr">
        <is>
          <t>2026-09-01</t>
        </is>
      </c>
      <c r="M20" s="48" t="inlineStr">
        <is>
          <t>Paid in Full</t>
        </is>
      </c>
      <c r="N20" s="45" t="inlineStr"/>
    </row>
    <row r="21" ht="20" customHeight="1">
      <c r="B21" s="44" t="inlineStr">
        <is>
          <t>Stationery</t>
        </is>
      </c>
      <c r="C21" s="44" t="inlineStr">
        <is>
          <t>Invitation Suite</t>
        </is>
      </c>
      <c r="D21" s="45" t="inlineStr">
        <is>
          <t>Invitations, RSVP cards, menus</t>
        </is>
      </c>
      <c r="E21" s="44" t="inlineStr">
        <is>
          <t>Paperie &amp; Pine</t>
        </is>
      </c>
      <c r="F21" s="46" t="n">
        <v>1200</v>
      </c>
      <c r="G21" s="46" t="n">
        <v>1180</v>
      </c>
      <c r="H21" s="46">
        <f>IF(F21="","",F21-G21)</f>
        <v/>
      </c>
      <c r="I21" s="46" t="n">
        <v>0</v>
      </c>
      <c r="J21" s="46" t="n">
        <v>1180</v>
      </c>
      <c r="K21" s="46">
        <f>IF(G21="","",G21-J21)</f>
        <v/>
      </c>
      <c r="L21" s="47" t="inlineStr">
        <is>
          <t>2027-01-10</t>
        </is>
      </c>
      <c r="M21" s="48" t="inlineStr">
        <is>
          <t>Paid in Full</t>
        </is>
      </c>
      <c r="N21" s="45" t="inlineStr"/>
    </row>
    <row r="22" ht="20" customHeight="1">
      <c r="B22" s="44" t="inlineStr">
        <is>
          <t>Cake</t>
        </is>
      </c>
      <c r="C22" s="44" t="inlineStr">
        <is>
          <t>Wedding Cake</t>
        </is>
      </c>
      <c r="D22" s="45" t="inlineStr">
        <is>
          <t>4-tier cake + dessert table</t>
        </is>
      </c>
      <c r="E22" s="44" t="inlineStr">
        <is>
          <t>Sugar &amp; Sage Bakery</t>
        </is>
      </c>
      <c r="F22" s="46" t="n">
        <v>1100</v>
      </c>
      <c r="G22" s="46" t="n">
        <v>1150</v>
      </c>
      <c r="H22" s="46">
        <f>IF(F22="","",F22-G22)</f>
        <v/>
      </c>
      <c r="I22" s="46" t="n">
        <v>300</v>
      </c>
      <c r="J22" s="46" t="n">
        <v>1150</v>
      </c>
      <c r="K22" s="46">
        <f>IF(G22="","",G22-J22)</f>
        <v/>
      </c>
      <c r="L22" s="47" t="inlineStr">
        <is>
          <t>2027-05-15</t>
        </is>
      </c>
      <c r="M22" s="48" t="inlineStr">
        <is>
          <t>Paid in Full</t>
        </is>
      </c>
      <c r="N22" s="45" t="inlineStr"/>
    </row>
    <row r="23" ht="20" customHeight="1">
      <c r="B23" s="44" t="inlineStr">
        <is>
          <t>Rings</t>
        </is>
      </c>
      <c r="C23" s="44" t="inlineStr">
        <is>
          <t>Wedding Bands</t>
        </is>
      </c>
      <c r="D23" s="45" t="inlineStr">
        <is>
          <t>Matching platinum wedding bands</t>
        </is>
      </c>
      <c r="E23" s="44" t="inlineStr">
        <is>
          <t>Heirloom &amp; Co. Jewelers</t>
        </is>
      </c>
      <c r="F23" s="46" t="n">
        <v>2200</v>
      </c>
      <c r="G23" s="46" t="n">
        <v>2150</v>
      </c>
      <c r="H23" s="46">
        <f>IF(F23="","",F23-G23)</f>
        <v/>
      </c>
      <c r="I23" s="46" t="n">
        <v>0</v>
      </c>
      <c r="J23" s="46" t="n">
        <v>2150</v>
      </c>
      <c r="K23" s="46">
        <f>IF(G23="","",G23-J23)</f>
        <v/>
      </c>
      <c r="L23" s="47" t="inlineStr">
        <is>
          <t>2027-01-01</t>
        </is>
      </c>
      <c r="M23" s="48" t="inlineStr">
        <is>
          <t>Paid in Full</t>
        </is>
      </c>
      <c r="N23" s="45" t="inlineStr"/>
    </row>
    <row r="24" ht="20" customHeight="1">
      <c r="B24" s="44" t="inlineStr">
        <is>
          <t>Rentals</t>
        </is>
      </c>
      <c r="C24" s="44" t="inlineStr">
        <is>
          <t>Tables, Chairs &amp; Tableware</t>
        </is>
      </c>
      <c r="D24" s="45" t="inlineStr">
        <is>
          <t>Chiavari chairs, china, glassware</t>
        </is>
      </c>
      <c r="E24" s="44" t="inlineStr">
        <is>
          <t>Vintage Rentals Co.</t>
        </is>
      </c>
      <c r="F24" s="46" t="n">
        <v>2400</v>
      </c>
      <c r="G24" s="46" t="n">
        <v>2500</v>
      </c>
      <c r="H24" s="46">
        <f>IF(F24="","",F24-G24)</f>
        <v/>
      </c>
      <c r="I24" s="46" t="n">
        <v>600</v>
      </c>
      <c r="J24" s="46" t="n">
        <v>1200</v>
      </c>
      <c r="K24" s="46">
        <f>IF(G24="","",G24-J24)</f>
        <v/>
      </c>
      <c r="L24" s="47" t="inlineStr">
        <is>
          <t>2027-04-20</t>
        </is>
      </c>
      <c r="M24" s="48" t="inlineStr">
        <is>
          <t>Deposit Paid</t>
        </is>
      </c>
      <c r="N24" s="45" t="inlineStr"/>
    </row>
    <row r="25" ht="20" customHeight="1">
      <c r="B25" s="44" t="inlineStr">
        <is>
          <t>Accommodation</t>
        </is>
      </c>
      <c r="C25" s="44" t="inlineStr">
        <is>
          <t>Wedding Weekend Block</t>
        </is>
      </c>
      <c r="D25" s="45" t="inlineStr">
        <is>
          <t>Hotel room block, 20 rooms</t>
        </is>
      </c>
      <c r="E25" s="44" t="inlineStr">
        <is>
          <t>Napa Ridge Inn</t>
        </is>
      </c>
      <c r="F25" s="46" t="n">
        <v>1600</v>
      </c>
      <c r="G25" s="46" t="n">
        <v>1600</v>
      </c>
      <c r="H25" s="46">
        <f>IF(F25="","",F25-G25)</f>
        <v/>
      </c>
      <c r="I25" s="46" t="n">
        <v>400</v>
      </c>
      <c r="J25" s="46" t="n">
        <v>1600</v>
      </c>
      <c r="K25" s="46">
        <f>IF(G25="","",G25-J25)</f>
        <v/>
      </c>
      <c r="L25" s="47" t="inlineStr">
        <is>
          <t>2027-05-01</t>
        </is>
      </c>
      <c r="M25" s="48" t="inlineStr">
        <is>
          <t>Paid in Full</t>
        </is>
      </c>
      <c r="N25" s="45" t="inlineStr"/>
    </row>
    <row r="26" ht="20" customHeight="1">
      <c r="B26" s="44" t="inlineStr">
        <is>
          <t>Gifts</t>
        </is>
      </c>
      <c r="C26" s="44" t="inlineStr">
        <is>
          <t>Wedding Party Gifts</t>
        </is>
      </c>
      <c r="D26" s="45" t="inlineStr">
        <is>
          <t>Gifts for bridesmaids &amp; groomsmen</t>
        </is>
      </c>
      <c r="E26" s="44" t="inlineStr">
        <is>
          <t>Local Artisan Market</t>
        </is>
      </c>
      <c r="F26" s="46" t="n">
        <v>700</v>
      </c>
      <c r="G26" s="46" t="n">
        <v>680</v>
      </c>
      <c r="H26" s="46">
        <f>IF(F26="","",F26-G26)</f>
        <v/>
      </c>
      <c r="I26" s="46" t="n">
        <v>0</v>
      </c>
      <c r="J26" s="46" t="n">
        <v>680</v>
      </c>
      <c r="K26" s="46">
        <f>IF(G26="","",G26-J26)</f>
        <v/>
      </c>
      <c r="L26" s="47" t="inlineStr">
        <is>
          <t>2027-05-25</t>
        </is>
      </c>
      <c r="M26" s="48" t="inlineStr">
        <is>
          <t>Paid in Full</t>
        </is>
      </c>
      <c r="N26" s="45" t="inlineStr"/>
    </row>
    <row r="27" ht="34" customHeight="1">
      <c r="B27" s="44" t="inlineStr">
        <is>
          <t>Honeymoon</t>
        </is>
      </c>
      <c r="C27" s="44" t="inlineStr">
        <is>
          <t>Honeymoon Trip</t>
        </is>
      </c>
      <c r="D27" s="45" t="inlineStr">
        <is>
          <t>See Honeymoon Budget tab for detail</t>
        </is>
      </c>
      <c r="E27" s="44" t="inlineStr">
        <is>
          <t>Various</t>
        </is>
      </c>
      <c r="F27" s="46" t="n">
        <v>8000</v>
      </c>
      <c r="G27" s="46" t="n">
        <v>6450</v>
      </c>
      <c r="H27" s="46">
        <f>IF(F27="","",F27-G27)</f>
        <v/>
      </c>
      <c r="I27" s="46" t="n">
        <v>2000</v>
      </c>
      <c r="J27" s="46" t="n">
        <v>4450</v>
      </c>
      <c r="K27" s="46">
        <f>IF(G27="","",G27-J27)</f>
        <v/>
      </c>
      <c r="L27" s="47" t="inlineStr">
        <is>
          <t>2027-06-20</t>
        </is>
      </c>
      <c r="M27" s="48" t="inlineStr">
        <is>
          <t>Deposit Paid</t>
        </is>
      </c>
      <c r="N27" s="45" t="inlineStr"/>
    </row>
    <row r="28" ht="20" customHeight="1">
      <c r="B28" s="44" t="inlineStr">
        <is>
          <t>Miscellaneous</t>
        </is>
      </c>
      <c r="C28" s="44" t="inlineStr">
        <is>
          <t>Contingency Fund</t>
        </is>
      </c>
      <c r="D28" s="45" t="inlineStr">
        <is>
          <t>Unplanned expenses buffer</t>
        </is>
      </c>
      <c r="E28" s="44" t="inlineStr">
        <is>
          <t>N/A</t>
        </is>
      </c>
      <c r="F28" s="46" t="n">
        <v>1150</v>
      </c>
      <c r="G28" s="46" t="n">
        <v>400</v>
      </c>
      <c r="H28" s="46">
        <f>IF(F28="","",F28-G28)</f>
        <v/>
      </c>
      <c r="I28" s="46" t="n">
        <v>0</v>
      </c>
      <c r="J28" s="46" t="n">
        <v>400</v>
      </c>
      <c r="K28" s="46">
        <f>IF(G28="","",G28-J28)</f>
        <v/>
      </c>
      <c r="L28" s="47" t="inlineStr">
        <is>
          <t>2027-06-01</t>
        </is>
      </c>
      <c r="M28" s="48" t="inlineStr">
        <is>
          <t>Paid in Full</t>
        </is>
      </c>
      <c r="N28" s="45" t="inlineStr"/>
    </row>
    <row r="29" ht="20" customHeight="1">
      <c r="B29" s="44" t="n"/>
      <c r="C29" s="44" t="n"/>
      <c r="D29" s="45" t="n"/>
      <c r="E29" s="44" t="n"/>
      <c r="F29" s="46" t="n"/>
      <c r="G29" s="46" t="n"/>
      <c r="H29" s="46">
        <f>IF(F29="","",F29-G29)</f>
        <v/>
      </c>
      <c r="I29" s="46" t="n"/>
      <c r="J29" s="46" t="n"/>
      <c r="K29" s="46">
        <f>IF(G29="","",G29-J29)</f>
        <v/>
      </c>
      <c r="L29" s="47" t="n"/>
      <c r="M29" s="48" t="n"/>
      <c r="N29" s="45" t="n"/>
    </row>
    <row r="30" ht="20" customHeight="1">
      <c r="B30" s="44" t="n"/>
      <c r="C30" s="44" t="n"/>
      <c r="D30" s="45" t="n"/>
      <c r="E30" s="44" t="n"/>
      <c r="F30" s="46" t="n"/>
      <c r="G30" s="46" t="n"/>
      <c r="H30" s="46">
        <f>IF(F30="","",F30-G30)</f>
        <v/>
      </c>
      <c r="I30" s="46" t="n"/>
      <c r="J30" s="46" t="n"/>
      <c r="K30" s="46">
        <f>IF(G30="","",G30-J30)</f>
        <v/>
      </c>
      <c r="L30" s="47" t="n"/>
      <c r="M30" s="48" t="n"/>
      <c r="N30" s="45" t="n"/>
    </row>
    <row r="31" ht="20" customHeight="1">
      <c r="B31" s="44" t="n"/>
      <c r="C31" s="44" t="n"/>
      <c r="D31" s="45" t="n"/>
      <c r="E31" s="44" t="n"/>
      <c r="F31" s="46" t="n"/>
      <c r="G31" s="46" t="n"/>
      <c r="H31" s="46">
        <f>IF(F31="","",F31-G31)</f>
        <v/>
      </c>
      <c r="I31" s="46" t="n"/>
      <c r="J31" s="46" t="n"/>
      <c r="K31" s="46">
        <f>IF(G31="","",G31-J31)</f>
        <v/>
      </c>
      <c r="L31" s="47" t="n"/>
      <c r="M31" s="48" t="n"/>
      <c r="N31" s="45" t="n"/>
    </row>
    <row r="32" ht="20" customHeight="1">
      <c r="B32" s="44" t="n"/>
      <c r="C32" s="44" t="n"/>
      <c r="D32" s="45" t="n"/>
      <c r="E32" s="44" t="n"/>
      <c r="F32" s="46" t="n"/>
      <c r="G32" s="46" t="n"/>
      <c r="H32" s="46">
        <f>IF(F32="","",F32-G32)</f>
        <v/>
      </c>
      <c r="I32" s="46" t="n"/>
      <c r="J32" s="46" t="n"/>
      <c r="K32" s="46">
        <f>IF(G32="","",G32-J32)</f>
        <v/>
      </c>
      <c r="L32" s="47" t="n"/>
      <c r="M32" s="48" t="n"/>
      <c r="N32" s="45" t="n"/>
    </row>
    <row r="33" ht="20" customHeight="1">
      <c r="B33" s="44" t="n"/>
      <c r="C33" s="44" t="n"/>
      <c r="D33" s="45" t="n"/>
      <c r="E33" s="44" t="n"/>
      <c r="F33" s="46" t="n"/>
      <c r="G33" s="46" t="n"/>
      <c r="H33" s="46">
        <f>IF(F33="","",F33-G33)</f>
        <v/>
      </c>
      <c r="I33" s="46" t="n"/>
      <c r="J33" s="46" t="n"/>
      <c r="K33" s="46">
        <f>IF(G33="","",G33-J33)</f>
        <v/>
      </c>
      <c r="L33" s="47" t="n"/>
      <c r="M33" s="48" t="n"/>
      <c r="N33" s="45" t="n"/>
    </row>
    <row r="34" ht="20" customHeight="1">
      <c r="B34" s="44" t="n"/>
      <c r="C34" s="44" t="n"/>
      <c r="D34" s="45" t="n"/>
      <c r="E34" s="44" t="n"/>
      <c r="F34" s="46" t="n"/>
      <c r="G34" s="46" t="n"/>
      <c r="H34" s="46">
        <f>IF(F34="","",F34-G34)</f>
        <v/>
      </c>
      <c r="I34" s="46" t="n"/>
      <c r="J34" s="46" t="n"/>
      <c r="K34" s="46">
        <f>IF(G34="","",G34-J34)</f>
        <v/>
      </c>
      <c r="L34" s="47" t="n"/>
      <c r="M34" s="48" t="n"/>
      <c r="N34" s="45" t="n"/>
    </row>
    <row r="35" ht="20" customHeight="1">
      <c r="B35" s="44" t="n"/>
      <c r="C35" s="44" t="n"/>
      <c r="D35" s="45" t="n"/>
      <c r="E35" s="44" t="n"/>
      <c r="F35" s="46" t="n"/>
      <c r="G35" s="46" t="n"/>
      <c r="H35" s="46">
        <f>IF(F35="","",F35-G35)</f>
        <v/>
      </c>
      <c r="I35" s="46" t="n"/>
      <c r="J35" s="46" t="n"/>
      <c r="K35" s="46">
        <f>IF(G35="","",G35-J35)</f>
        <v/>
      </c>
      <c r="L35" s="47" t="n"/>
      <c r="M35" s="48" t="n"/>
      <c r="N35" s="45" t="n"/>
    </row>
    <row r="37">
      <c r="B37" s="5" t="inlineStr">
        <is>
          <t>BUDGET SUMMARY</t>
        </is>
      </c>
    </row>
    <row r="38">
      <c r="B38" s="18">
        <f>SUM(F6:F35)</f>
        <v/>
      </c>
      <c r="C38" s="19" t="n"/>
      <c r="D38" s="20" t="n"/>
      <c r="E38" s="18">
        <f>SUM(G6:G35)</f>
        <v/>
      </c>
      <c r="F38" s="19" t="n"/>
      <c r="G38" s="20" t="n"/>
      <c r="H38" s="18">
        <f>SUM(K6:K35)</f>
        <v/>
      </c>
      <c r="I38" s="19" t="n"/>
      <c r="J38" s="20" t="n"/>
      <c r="K38" s="49">
        <f>IFERROR(SUM(G6:G35)/TotalBudget,"")</f>
        <v/>
      </c>
      <c r="L38" s="19" t="n"/>
      <c r="M38" s="20" t="n"/>
    </row>
    <row r="39">
      <c r="B39" s="30" t="n"/>
      <c r="C39" s="31" t="n"/>
      <c r="D39" s="32" t="n"/>
      <c r="E39" s="30" t="n"/>
      <c r="F39" s="31" t="n"/>
      <c r="G39" s="32" t="n"/>
      <c r="H39" s="30" t="n"/>
      <c r="I39" s="31" t="n"/>
      <c r="J39" s="32" t="n"/>
      <c r="K39" s="30" t="n"/>
      <c r="L39" s="31" t="n"/>
      <c r="M39" s="32" t="n"/>
    </row>
    <row r="40">
      <c r="B40" s="33" t="inlineStr">
        <is>
          <t>TOTAL PLANNED</t>
        </is>
      </c>
      <c r="C40" s="34" t="n"/>
      <c r="D40" s="35" t="n"/>
      <c r="E40" s="33" t="inlineStr">
        <is>
          <t>TOTAL ACTUAL</t>
        </is>
      </c>
      <c r="F40" s="34" t="n"/>
      <c r="G40" s="35" t="n"/>
      <c r="H40" s="33" t="inlineStr">
        <is>
          <t>TOTAL REMAINING</t>
        </is>
      </c>
      <c r="I40" s="34" t="n"/>
      <c r="J40" s="35" t="n"/>
      <c r="K40" s="33" t="inlineStr">
        <is>
          <t>BUDGET USED</t>
        </is>
      </c>
      <c r="L40" s="34" t="n"/>
      <c r="M40" s="35" t="n"/>
    </row>
  </sheetData>
  <mergeCells count="8">
    <mergeCell ref="K38:M39"/>
    <mergeCell ref="K40:M40"/>
    <mergeCell ref="B38:D39"/>
    <mergeCell ref="B40:D40"/>
    <mergeCell ref="E38:G39"/>
    <mergeCell ref="E40:G40"/>
    <mergeCell ref="H38:J39"/>
    <mergeCell ref="H40:J40"/>
  </mergeCells>
  <conditionalFormatting sqref="L6:L35">
    <cfRule type="expression" priority="1" dxfId="0">
      <formula>EXACT(TRIM(L6),"Paid in Full")</formula>
    </cfRule>
    <cfRule type="expression" priority="2" dxfId="1">
      <formula>EXACT(TRIM(L6),"Overdue")</formula>
    </cfRule>
    <cfRule type="expression" priority="3" dxfId="2">
      <formula>EXACT(TRIM(L6),"Deposit Paid")</formula>
    </cfRule>
    <cfRule type="expression" priority="4" dxfId="3">
      <formula>EXACT(TRIM(L6),"Not Started")</formula>
    </cfRule>
  </conditionalFormatting>
  <conditionalFormatting sqref="G6:G35">
    <cfRule type="cellIs" priority="5" operator="greaterThan" dxfId="1">
      <formula>F6</formula>
    </cfRule>
  </conditionalFormatting>
  <dataValidations count="2">
    <dataValidation sqref="B6:B35" showDropDown="0" showInputMessage="0" showErrorMessage="0" allowBlank="1" errorTitle="Invalid entry" error="Please choose a value from the list." type="list">
      <formula1>Lists!$F$2:$F$21</formula1>
    </dataValidation>
    <dataValidation sqref="M6:M35" showDropDown="0" showInputMessage="0" showErrorMessage="0" allowBlank="1" errorTitle="Invalid entry" error="Please choose a value from the list." type="list">
      <formula1>Lists!$B$2:$B$6</formula1>
    </dataValidation>
  </dataValidations>
  <hyperlinks>
    <hyperlink ref="B1" location="'Dashboard'!A1"/>
    <hyperlink ref="C1" location="'START HERE'!A1"/>
  </hyperlinks>
  <pageMargins left="0.4" right="0.4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C98F91"/>
    <outlinePr summaryBelow="1" summaryRight="1"/>
    <pageSetUpPr fitToPage="1"/>
  </sheetPr>
  <dimension ref="A1:P36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8" customWidth="1" min="4" max="4"/>
    <col width="15" customWidth="1" min="5" max="5"/>
    <col width="24" customWidth="1" min="6" max="6"/>
    <col width="20" customWidth="1" min="7" max="7"/>
    <col width="13" customWidth="1" min="8" max="8"/>
    <col width="13" customWidth="1" min="9" max="9"/>
    <col width="13" customWidth="1" min="10" max="10"/>
    <col width="13" customWidth="1" min="11" max="11"/>
    <col width="17" customWidth="1" min="12" max="12"/>
    <col width="16" customWidth="1" min="13" max="13"/>
    <col width="13" customWidth="1" min="14" max="14"/>
    <col width="9" customWidth="1" min="15" max="15"/>
    <col width="22" customWidth="1" min="16" max="16"/>
  </cols>
  <sheetData>
    <row r="1" ht="8" customHeight="1">
      <c r="A1" s="9" t="n"/>
      <c r="B1" s="10" t="inlineStr">
        <is>
          <t>‹ Dashboard</t>
        </is>
      </c>
      <c r="C1" s="10" t="inlineStr">
        <is>
          <t>‹ Start Here</t>
        </is>
      </c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</row>
    <row r="2" ht="30" customHeight="1">
      <c r="A2" s="9" t="n"/>
      <c r="B2" s="41" t="inlineStr">
        <is>
          <t>VENDOR DIRECTORY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 ht="20" customHeight="1">
      <c r="A3" s="16" t="n"/>
      <c r="B3" s="42" t="inlineStr">
        <is>
          <t>Every vendor, quote and contract in one elegant place.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</row>
    <row r="5">
      <c r="B5" s="43" t="inlineStr">
        <is>
          <t>Vendor Name</t>
        </is>
      </c>
      <c r="C5" s="43" t="inlineStr">
        <is>
          <t>Category</t>
        </is>
      </c>
      <c r="D5" s="43" t="inlineStr">
        <is>
          <t>Contact Person</t>
        </is>
      </c>
      <c r="E5" s="43" t="inlineStr">
        <is>
          <t>Phone</t>
        </is>
      </c>
      <c r="F5" s="43" t="inlineStr">
        <is>
          <t>Email</t>
        </is>
      </c>
      <c r="G5" s="43" t="inlineStr">
        <is>
          <t>Website</t>
        </is>
      </c>
      <c r="H5" s="43" t="inlineStr">
        <is>
          <t>Quote</t>
        </is>
      </c>
      <c r="I5" s="43" t="inlineStr">
        <is>
          <t>Final Cost</t>
        </is>
      </c>
      <c r="J5" s="43" t="inlineStr">
        <is>
          <t>Deposit</t>
        </is>
      </c>
      <c r="K5" s="43" t="inlineStr">
        <is>
          <t>Remaining</t>
        </is>
      </c>
      <c r="L5" s="43" t="inlineStr">
        <is>
          <t>Contract Status</t>
        </is>
      </c>
      <c r="M5" s="43" t="inlineStr">
        <is>
          <t>Payment Status</t>
        </is>
      </c>
      <c r="N5" s="43" t="inlineStr">
        <is>
          <t>Due Date</t>
        </is>
      </c>
      <c r="O5" s="43" t="inlineStr">
        <is>
          <t>Rating</t>
        </is>
      </c>
      <c r="P5" s="43" t="inlineStr">
        <is>
          <t>Notes</t>
        </is>
      </c>
    </row>
    <row r="6" ht="20" customHeight="1">
      <c r="B6" s="44" t="inlineStr">
        <is>
          <t>Silver Oak Estate</t>
        </is>
      </c>
      <c r="C6" s="44" t="inlineStr">
        <is>
          <t>Venue</t>
        </is>
      </c>
      <c r="D6" s="44" t="inlineStr">
        <is>
          <t>Marisol Herrera</t>
        </is>
      </c>
      <c r="E6" s="44" t="inlineStr">
        <is>
          <t>707-555-0142</t>
        </is>
      </c>
      <c r="F6" s="44" t="inlineStr">
        <is>
          <t>events@silveroakestate.com</t>
        </is>
      </c>
      <c r="G6" s="44" t="inlineStr">
        <is>
          <t>silveroakestate.com</t>
        </is>
      </c>
      <c r="H6" s="46" t="n">
        <v>13500</v>
      </c>
      <c r="I6" s="46" t="n">
        <v>13500</v>
      </c>
      <c r="J6" s="46" t="n">
        <v>6750</v>
      </c>
      <c r="K6" s="46">
        <f>IF(I6="","",I6-J6)</f>
        <v/>
      </c>
      <c r="L6" s="48" t="inlineStr">
        <is>
          <t>Signed</t>
        </is>
      </c>
      <c r="M6" s="48" t="inlineStr">
        <is>
          <t>Deposit Paid</t>
        </is>
      </c>
      <c r="N6" s="47" t="inlineStr">
        <is>
          <t>2027-01-15</t>
        </is>
      </c>
      <c r="O6" s="48" t="n">
        <v>5</v>
      </c>
      <c r="P6" s="45" t="inlineStr"/>
    </row>
    <row r="7" ht="20" customHeight="1">
      <c r="B7" s="44" t="inlineStr">
        <is>
          <t>Harvest Table Catering</t>
        </is>
      </c>
      <c r="C7" s="44" t="inlineStr">
        <is>
          <t>Catering</t>
        </is>
      </c>
      <c r="D7" s="44" t="inlineStr">
        <is>
          <t>Grant Whitfield</t>
        </is>
      </c>
      <c r="E7" s="44" t="inlineStr">
        <is>
          <t>707-555-0198</t>
        </is>
      </c>
      <c r="F7" s="44" t="inlineStr">
        <is>
          <t>grant@harvesttablecatering.com</t>
        </is>
      </c>
      <c r="G7" s="44" t="inlineStr">
        <is>
          <t>harvesttablecatering.com</t>
        </is>
      </c>
      <c r="H7" s="46" t="n">
        <v>13100</v>
      </c>
      <c r="I7" s="46" t="n">
        <v>13100</v>
      </c>
      <c r="J7" s="46" t="n">
        <v>4000</v>
      </c>
      <c r="K7" s="46">
        <f>IF(I7="","",I7-J7)</f>
        <v/>
      </c>
      <c r="L7" s="48" t="inlineStr">
        <is>
          <t>Signed</t>
        </is>
      </c>
      <c r="M7" s="48" t="inlineStr">
        <is>
          <t>Deposit Paid</t>
        </is>
      </c>
      <c r="N7" s="47" t="inlineStr">
        <is>
          <t>2027-03-01</t>
        </is>
      </c>
      <c r="O7" s="48" t="n">
        <v>5</v>
      </c>
      <c r="P7" s="45" t="inlineStr"/>
    </row>
    <row r="8" ht="20" customHeight="1">
      <c r="B8" s="44" t="inlineStr">
        <is>
          <t>Golden Hour Photo Co.</t>
        </is>
      </c>
      <c r="C8" s="44" t="inlineStr">
        <is>
          <t>Photography</t>
        </is>
      </c>
      <c r="D8" s="44" t="inlineStr">
        <is>
          <t>Ines Callahan</t>
        </is>
      </c>
      <c r="E8" s="44" t="inlineStr">
        <is>
          <t>415-555-0110</t>
        </is>
      </c>
      <c r="F8" s="44" t="inlineStr">
        <is>
          <t>ines@goldenhourphoto.co</t>
        </is>
      </c>
      <c r="G8" s="44" t="inlineStr">
        <is>
          <t>goldenhourphoto.co</t>
        </is>
      </c>
      <c r="H8" s="46" t="n">
        <v>3800</v>
      </c>
      <c r="I8" s="46" t="n">
        <v>3800</v>
      </c>
      <c r="J8" s="46" t="n">
        <v>1000</v>
      </c>
      <c r="K8" s="46">
        <f>IF(I8="","",I8-J8)</f>
        <v/>
      </c>
      <c r="L8" s="48" t="inlineStr">
        <is>
          <t>Signed</t>
        </is>
      </c>
      <c r="M8" s="48" t="inlineStr">
        <is>
          <t>Deposit Paid</t>
        </is>
      </c>
      <c r="N8" s="47" t="inlineStr">
        <is>
          <t>2027-02-01</t>
        </is>
      </c>
      <c r="O8" s="48" t="n">
        <v>5</v>
      </c>
      <c r="P8" s="45" t="inlineStr"/>
    </row>
    <row r="9" ht="20" customHeight="1">
      <c r="B9" s="44" t="inlineStr">
        <is>
          <t>Lumière Films</t>
        </is>
      </c>
      <c r="C9" s="44" t="inlineStr">
        <is>
          <t>Videography</t>
        </is>
      </c>
      <c r="D9" s="44" t="inlineStr">
        <is>
          <t>Theo Marsh</t>
        </is>
      </c>
      <c r="E9" s="44" t="inlineStr">
        <is>
          <t>415-555-0177</t>
        </is>
      </c>
      <c r="F9" s="44" t="inlineStr">
        <is>
          <t>hello@lumierefilms.com</t>
        </is>
      </c>
      <c r="G9" s="44" t="inlineStr">
        <is>
          <t>lumierefilms.com</t>
        </is>
      </c>
      <c r="H9" s="46" t="n">
        <v>2600</v>
      </c>
      <c r="I9" s="46" t="n">
        <v>2600</v>
      </c>
      <c r="J9" s="46" t="n">
        <v>800</v>
      </c>
      <c r="K9" s="46">
        <f>IF(I9="","",I9-J9)</f>
        <v/>
      </c>
      <c r="L9" s="48" t="inlineStr">
        <is>
          <t>Signed</t>
        </is>
      </c>
      <c r="M9" s="48" t="inlineStr">
        <is>
          <t>Deposit Paid</t>
        </is>
      </c>
      <c r="N9" s="47" t="inlineStr">
        <is>
          <t>2027-02-01</t>
        </is>
      </c>
      <c r="O9" s="48" t="n">
        <v>4</v>
      </c>
      <c r="P9" s="45" t="inlineStr"/>
    </row>
    <row r="10" ht="20" customHeight="1">
      <c r="B10" s="44" t="inlineStr">
        <is>
          <t>Maison Everly Bridal</t>
        </is>
      </c>
      <c r="C10" s="44" t="inlineStr">
        <is>
          <t>Attire</t>
        </is>
      </c>
      <c r="D10" s="44" t="inlineStr">
        <is>
          <t>Camille Everly</t>
        </is>
      </c>
      <c r="E10" s="44" t="inlineStr">
        <is>
          <t>707-555-0133</t>
        </is>
      </c>
      <c r="F10" s="44" t="inlineStr">
        <is>
          <t>camille@maisoneverly.com</t>
        </is>
      </c>
      <c r="G10" s="44" t="inlineStr">
        <is>
          <t>maisoneverly.com</t>
        </is>
      </c>
      <c r="H10" s="46" t="n">
        <v>2950</v>
      </c>
      <c r="I10" s="46" t="n">
        <v>2950</v>
      </c>
      <c r="J10" s="46" t="n">
        <v>500</v>
      </c>
      <c r="K10" s="46">
        <f>IF(I10="","",I10-J10)</f>
        <v/>
      </c>
      <c r="L10" s="48" t="inlineStr">
        <is>
          <t>Signed</t>
        </is>
      </c>
      <c r="M10" s="48" t="inlineStr">
        <is>
          <t>Deposit Paid</t>
        </is>
      </c>
      <c r="N10" s="47" t="inlineStr">
        <is>
          <t>2026-11-01</t>
        </is>
      </c>
      <c r="O10" s="48" t="n">
        <v>5</v>
      </c>
      <c r="P10" s="45" t="inlineStr"/>
    </row>
    <row r="11" ht="20" customHeight="1">
      <c r="B11" s="44" t="inlineStr">
        <is>
          <t>Sartorial House</t>
        </is>
      </c>
      <c r="C11" s="44" t="inlineStr">
        <is>
          <t>Attire</t>
        </is>
      </c>
      <c r="D11" s="44" t="inlineStr">
        <is>
          <t>Miles Hartley</t>
        </is>
      </c>
      <c r="E11" s="44" t="inlineStr">
        <is>
          <t>707-555-0166</t>
        </is>
      </c>
      <c r="F11" s="44" t="inlineStr">
        <is>
          <t>miles@sartorialhouse.com</t>
        </is>
      </c>
      <c r="G11" s="44" t="inlineStr">
        <is>
          <t>sartorialhouse.com</t>
        </is>
      </c>
      <c r="H11" s="46" t="n">
        <v>875</v>
      </c>
      <c r="I11" s="46" t="n">
        <v>875</v>
      </c>
      <c r="J11" s="46" t="n">
        <v>200</v>
      </c>
      <c r="K11" s="46">
        <f>IF(I11="","",I11-J11)</f>
        <v/>
      </c>
      <c r="L11" s="48" t="inlineStr">
        <is>
          <t>Signed</t>
        </is>
      </c>
      <c r="M11" s="48" t="inlineStr">
        <is>
          <t>Deposit Paid</t>
        </is>
      </c>
      <c r="N11" s="47" t="inlineStr">
        <is>
          <t>2026-11-15</t>
        </is>
      </c>
      <c r="O11" s="48" t="n">
        <v>4</v>
      </c>
      <c r="P11" s="45" t="inlineStr"/>
    </row>
    <row r="12" ht="20" customHeight="1">
      <c r="B12" s="44" t="inlineStr">
        <is>
          <t>Bloom Beauty Studio</t>
        </is>
      </c>
      <c r="C12" s="44" t="inlineStr">
        <is>
          <t>Beauty</t>
        </is>
      </c>
      <c r="D12" s="44" t="inlineStr">
        <is>
          <t>Priya Nakamura</t>
        </is>
      </c>
      <c r="E12" s="44" t="inlineStr">
        <is>
          <t>707-555-0189</t>
        </is>
      </c>
      <c r="F12" s="44" t="inlineStr">
        <is>
          <t>priya@bloombeautystudio.com</t>
        </is>
      </c>
      <c r="G12" s="44" t="inlineStr">
        <is>
          <t>bloombeautystudio.com</t>
        </is>
      </c>
      <c r="H12" s="46" t="n">
        <v>1450</v>
      </c>
      <c r="I12" s="46" t="n">
        <v>1450</v>
      </c>
      <c r="J12" s="46" t="n">
        <v>300</v>
      </c>
      <c r="K12" s="46">
        <f>IF(I12="","",I12-J12)</f>
        <v/>
      </c>
      <c r="L12" s="48" t="inlineStr">
        <is>
          <t>Signed</t>
        </is>
      </c>
      <c r="M12" s="48" t="inlineStr">
        <is>
          <t>Not Started</t>
        </is>
      </c>
      <c r="N12" s="47" t="inlineStr">
        <is>
          <t>2027-05-01</t>
        </is>
      </c>
      <c r="O12" s="48" t="n">
        <v>5</v>
      </c>
      <c r="P12" s="45" t="inlineStr"/>
    </row>
    <row r="13" ht="20" customHeight="1">
      <c r="B13" s="44" t="inlineStr">
        <is>
          <t>Wildroot Floral Design</t>
        </is>
      </c>
      <c r="C13" s="44" t="inlineStr">
        <is>
          <t>Flowers</t>
        </is>
      </c>
      <c r="D13" s="44" t="inlineStr">
        <is>
          <t>Rosalind Abernathy</t>
        </is>
      </c>
      <c r="E13" s="44" t="inlineStr">
        <is>
          <t>707-555-0121</t>
        </is>
      </c>
      <c r="F13" s="44" t="inlineStr">
        <is>
          <t>rosalind@wildrootfloral.com</t>
        </is>
      </c>
      <c r="G13" s="44" t="inlineStr">
        <is>
          <t>wildrootfloral.com</t>
        </is>
      </c>
      <c r="H13" s="46" t="n">
        <v>4400</v>
      </c>
      <c r="I13" s="46" t="n">
        <v>4400</v>
      </c>
      <c r="J13" s="46" t="n">
        <v>1200</v>
      </c>
      <c r="K13" s="46">
        <f>IF(I13="","",I13-J13)</f>
        <v/>
      </c>
      <c r="L13" s="48" t="inlineStr">
        <is>
          <t>Signed</t>
        </is>
      </c>
      <c r="M13" s="48" t="inlineStr">
        <is>
          <t>Deposit Paid</t>
        </is>
      </c>
      <c r="N13" s="47" t="inlineStr">
        <is>
          <t>2027-04-01</t>
        </is>
      </c>
      <c r="O13" s="48" t="n">
        <v>5</v>
      </c>
      <c r="P13" s="45" t="inlineStr"/>
    </row>
    <row r="14" ht="20" customHeight="1">
      <c r="B14" s="44" t="inlineStr">
        <is>
          <t>Ember &amp; Ivy Events</t>
        </is>
      </c>
      <c r="C14" s="44" t="inlineStr">
        <is>
          <t>Decor</t>
        </is>
      </c>
      <c r="D14" s="44" t="inlineStr">
        <is>
          <t>Julian Reyes</t>
        </is>
      </c>
      <c r="E14" s="44" t="inlineStr">
        <is>
          <t>707-555-0144</t>
        </is>
      </c>
      <c r="F14" s="44" t="inlineStr">
        <is>
          <t>julian@emberandivy.com</t>
        </is>
      </c>
      <c r="G14" s="44" t="inlineStr">
        <is>
          <t>emberandivy.com</t>
        </is>
      </c>
      <c r="H14" s="46" t="n">
        <v>3050</v>
      </c>
      <c r="I14" s="46" t="n">
        <v>3050</v>
      </c>
      <c r="J14" s="46" t="n">
        <v>800</v>
      </c>
      <c r="K14" s="46">
        <f>IF(I14="","",I14-J14)</f>
        <v/>
      </c>
      <c r="L14" s="48" t="inlineStr">
        <is>
          <t>Signed</t>
        </is>
      </c>
      <c r="M14" s="48" t="inlineStr">
        <is>
          <t>Deposit Paid</t>
        </is>
      </c>
      <c r="N14" s="47" t="inlineStr">
        <is>
          <t>2027-04-01</t>
        </is>
      </c>
      <c r="O14" s="48" t="n">
        <v>4</v>
      </c>
      <c r="P14" s="45" t="inlineStr"/>
    </row>
    <row r="15" ht="20" customHeight="1">
      <c r="B15" s="44" t="inlineStr">
        <is>
          <t>Skyline Sound Co.</t>
        </is>
      </c>
      <c r="C15" s="44" t="inlineStr">
        <is>
          <t>Entertainment</t>
        </is>
      </c>
      <c r="D15" s="44" t="inlineStr">
        <is>
          <t>Devon Okafor</t>
        </is>
      </c>
      <c r="E15" s="44" t="inlineStr">
        <is>
          <t>415-555-0155</t>
        </is>
      </c>
      <c r="F15" s="44" t="inlineStr">
        <is>
          <t>devon@skylinesound.com</t>
        </is>
      </c>
      <c r="G15" s="44" t="inlineStr">
        <is>
          <t>skylinesound.com</t>
        </is>
      </c>
      <c r="H15" s="46" t="n">
        <v>1800</v>
      </c>
      <c r="I15" s="46" t="n">
        <v>1800</v>
      </c>
      <c r="J15" s="46" t="n">
        <v>400</v>
      </c>
      <c r="K15" s="46">
        <f>IF(I15="","",I15-J15)</f>
        <v/>
      </c>
      <c r="L15" s="48" t="inlineStr">
        <is>
          <t>Signed</t>
        </is>
      </c>
      <c r="M15" s="48" t="inlineStr">
        <is>
          <t>Deposit Paid</t>
        </is>
      </c>
      <c r="N15" s="47" t="inlineStr">
        <is>
          <t>2027-03-15</t>
        </is>
      </c>
      <c r="O15" s="48" t="n">
        <v>5</v>
      </c>
      <c r="P15" s="45" t="inlineStr"/>
    </row>
    <row r="16" ht="20" customHeight="1">
      <c r="B16" s="44" t="inlineStr">
        <is>
          <t>Napa String Quartet</t>
        </is>
      </c>
      <c r="C16" s="44" t="inlineStr">
        <is>
          <t>Music</t>
        </is>
      </c>
      <c r="D16" s="44" t="inlineStr">
        <is>
          <t>Elena Kowalski</t>
        </is>
      </c>
      <c r="E16" s="44" t="inlineStr">
        <is>
          <t>707-555-0161</t>
        </is>
      </c>
      <c r="F16" s="44" t="inlineStr">
        <is>
          <t>elena@napastrings.com</t>
        </is>
      </c>
      <c r="G16" s="44" t="inlineStr">
        <is>
          <t>napastrings.com</t>
        </is>
      </c>
      <c r="H16" s="46" t="n">
        <v>900</v>
      </c>
      <c r="I16" s="46" t="n">
        <v>900</v>
      </c>
      <c r="J16" s="46" t="n">
        <v>200</v>
      </c>
      <c r="K16" s="46">
        <f>IF(I16="","",I16-J16)</f>
        <v/>
      </c>
      <c r="L16" s="48" t="inlineStr">
        <is>
          <t>Signed</t>
        </is>
      </c>
      <c r="M16" s="48" t="inlineStr">
        <is>
          <t>Paid in Full</t>
        </is>
      </c>
      <c r="N16" s="47" t="inlineStr">
        <is>
          <t>2027-04-15</t>
        </is>
      </c>
      <c r="O16" s="48" t="n">
        <v>5</v>
      </c>
      <c r="P16" s="45" t="inlineStr"/>
    </row>
    <row r="17" ht="20" customHeight="1">
      <c r="B17" s="44" t="inlineStr">
        <is>
          <t>Valley Transit Co.</t>
        </is>
      </c>
      <c r="C17" s="44" t="inlineStr">
        <is>
          <t>Transportation</t>
        </is>
      </c>
      <c r="D17" s="44" t="inlineStr">
        <is>
          <t>Marcus Vance</t>
        </is>
      </c>
      <c r="E17" s="44" t="inlineStr">
        <is>
          <t>707-555-0173</t>
        </is>
      </c>
      <c r="F17" s="44" t="inlineStr">
        <is>
          <t>marcus@valleytransit.com</t>
        </is>
      </c>
      <c r="G17" s="44" t="inlineStr">
        <is>
          <t>valleytransit.com</t>
        </is>
      </c>
      <c r="H17" s="46" t="n">
        <v>1150</v>
      </c>
      <c r="I17" s="46" t="n">
        <v>1150</v>
      </c>
      <c r="J17" s="46" t="n">
        <v>0</v>
      </c>
      <c r="K17" s="46">
        <f>IF(I17="","",I17-J17)</f>
        <v/>
      </c>
      <c r="L17" s="48" t="inlineStr">
        <is>
          <t>Sent</t>
        </is>
      </c>
      <c r="M17" s="48" t="inlineStr">
        <is>
          <t>Not Started</t>
        </is>
      </c>
      <c r="N17" s="47" t="inlineStr">
        <is>
          <t>2027-05-20</t>
        </is>
      </c>
      <c r="O17" s="48" t="n">
        <v>4</v>
      </c>
      <c r="P17" s="45" t="inlineStr"/>
    </row>
    <row r="18" ht="20" customHeight="1">
      <c r="B18" s="44" t="inlineStr">
        <is>
          <t>Paperie &amp; Pine</t>
        </is>
      </c>
      <c r="C18" s="44" t="inlineStr">
        <is>
          <t>Stationery</t>
        </is>
      </c>
      <c r="D18" s="44" t="inlineStr">
        <is>
          <t>Nora Fitzgerald</t>
        </is>
      </c>
      <c r="E18" s="44" t="inlineStr">
        <is>
          <t>707-555-0128</t>
        </is>
      </c>
      <c r="F18" s="44" t="inlineStr">
        <is>
          <t>nora@paperieandpine.com</t>
        </is>
      </c>
      <c r="G18" s="44" t="inlineStr">
        <is>
          <t>paperieandpine.com</t>
        </is>
      </c>
      <c r="H18" s="46" t="n">
        <v>1800</v>
      </c>
      <c r="I18" s="46" t="n">
        <v>1800</v>
      </c>
      <c r="J18" s="46" t="n">
        <v>0</v>
      </c>
      <c r="K18" s="46">
        <f>IF(I18="","",I18-J18)</f>
        <v/>
      </c>
      <c r="L18" s="48" t="inlineStr">
        <is>
          <t>Signed</t>
        </is>
      </c>
      <c r="M18" s="48" t="inlineStr">
        <is>
          <t>Overdue</t>
        </is>
      </c>
      <c r="N18" s="47" t="inlineStr">
        <is>
          <t>2027-01-10</t>
        </is>
      </c>
      <c r="O18" s="48" t="n">
        <v>5</v>
      </c>
      <c r="P18" s="45" t="inlineStr"/>
    </row>
    <row r="19" ht="20" customHeight="1">
      <c r="B19" s="44" t="inlineStr">
        <is>
          <t>Sugar &amp; Sage Bakery</t>
        </is>
      </c>
      <c r="C19" s="44" t="inlineStr">
        <is>
          <t>Cake</t>
        </is>
      </c>
      <c r="D19" s="44" t="inlineStr">
        <is>
          <t>Willa Chambers</t>
        </is>
      </c>
      <c r="E19" s="44" t="inlineStr">
        <is>
          <t>707-555-0119</t>
        </is>
      </c>
      <c r="F19" s="44" t="inlineStr">
        <is>
          <t>willa@sugarandsage.com</t>
        </is>
      </c>
      <c r="G19" s="44" t="inlineStr">
        <is>
          <t>sugarandsage.com</t>
        </is>
      </c>
      <c r="H19" s="46" t="n">
        <v>1150</v>
      </c>
      <c r="I19" s="46" t="n">
        <v>1150</v>
      </c>
      <c r="J19" s="46" t="n">
        <v>300</v>
      </c>
      <c r="K19" s="46">
        <f>IF(I19="","",I19-J19)</f>
        <v/>
      </c>
      <c r="L19" s="48" t="inlineStr">
        <is>
          <t>Signed</t>
        </is>
      </c>
      <c r="M19" s="48" t="inlineStr">
        <is>
          <t>Deposit Paid</t>
        </is>
      </c>
      <c r="N19" s="47" t="inlineStr">
        <is>
          <t>2027-05-15</t>
        </is>
      </c>
      <c r="O19" s="48" t="n">
        <v>5</v>
      </c>
      <c r="P19" s="45" t="inlineStr"/>
    </row>
    <row r="20" ht="20" customHeight="1">
      <c r="B20" s="44" t="inlineStr">
        <is>
          <t>Heirloom &amp; Co. Jewelers</t>
        </is>
      </c>
      <c r="C20" s="44" t="inlineStr">
        <is>
          <t>Rings</t>
        </is>
      </c>
      <c r="D20" s="44" t="inlineStr">
        <is>
          <t>Adrian Pruitt</t>
        </is>
      </c>
      <c r="E20" s="44" t="inlineStr">
        <is>
          <t>707-555-0104</t>
        </is>
      </c>
      <c r="F20" s="44" t="inlineStr">
        <is>
          <t>adrian@heirloomjewelers.com</t>
        </is>
      </c>
      <c r="G20" s="44" t="inlineStr">
        <is>
          <t>heirloomjewelers.com</t>
        </is>
      </c>
      <c r="H20" s="46" t="n">
        <v>2150</v>
      </c>
      <c r="I20" s="46" t="n">
        <v>2150</v>
      </c>
      <c r="J20" s="46" t="n">
        <v>0</v>
      </c>
      <c r="K20" s="46">
        <f>IF(I20="","",I20-J20)</f>
        <v/>
      </c>
      <c r="L20" s="48" t="inlineStr">
        <is>
          <t>Signed</t>
        </is>
      </c>
      <c r="M20" s="48" t="inlineStr">
        <is>
          <t>Paid in Full</t>
        </is>
      </c>
      <c r="N20" s="47" t="inlineStr">
        <is>
          <t>2027-01-01</t>
        </is>
      </c>
      <c r="O20" s="48" t="n">
        <v>5</v>
      </c>
      <c r="P20" s="45" t="inlineStr"/>
    </row>
    <row r="21" ht="20" customHeight="1">
      <c r="B21" s="44" t="inlineStr">
        <is>
          <t>Vintage Rentals Co.</t>
        </is>
      </c>
      <c r="C21" s="44" t="inlineStr">
        <is>
          <t>Rentals</t>
        </is>
      </c>
      <c r="D21" s="44" t="inlineStr">
        <is>
          <t>Bianca Delgado</t>
        </is>
      </c>
      <c r="E21" s="44" t="inlineStr">
        <is>
          <t>707-555-0187</t>
        </is>
      </c>
      <c r="F21" s="44" t="inlineStr">
        <is>
          <t>bianca@vintagerentalsco.com</t>
        </is>
      </c>
      <c r="G21" s="44" t="inlineStr">
        <is>
          <t>vintagerentalsco.com</t>
        </is>
      </c>
      <c r="H21" s="46" t="n">
        <v>2500</v>
      </c>
      <c r="I21" s="46" t="n">
        <v>2500</v>
      </c>
      <c r="J21" s="46" t="n">
        <v>600</v>
      </c>
      <c r="K21" s="46">
        <f>IF(I21="","",I21-J21)</f>
        <v/>
      </c>
      <c r="L21" s="48" t="inlineStr">
        <is>
          <t>Signed</t>
        </is>
      </c>
      <c r="M21" s="48" t="inlineStr">
        <is>
          <t>Deposit Paid</t>
        </is>
      </c>
      <c r="N21" s="47" t="inlineStr">
        <is>
          <t>2027-04-20</t>
        </is>
      </c>
      <c r="O21" s="48" t="n">
        <v>4</v>
      </c>
      <c r="P21" s="45" t="inlineStr"/>
    </row>
    <row r="22" ht="20" customHeight="1">
      <c r="B22" s="44" t="inlineStr">
        <is>
          <t>Napa Ridge Inn</t>
        </is>
      </c>
      <c r="C22" s="44" t="inlineStr">
        <is>
          <t>Accommodation</t>
        </is>
      </c>
      <c r="D22" s="44" t="inlineStr">
        <is>
          <t>Colin Sinclair</t>
        </is>
      </c>
      <c r="E22" s="44" t="inlineStr">
        <is>
          <t>707-555-0192</t>
        </is>
      </c>
      <c r="F22" s="44" t="inlineStr">
        <is>
          <t>colin@naparidgeinn.com</t>
        </is>
      </c>
      <c r="G22" s="44" t="inlineStr">
        <is>
          <t>naparidgeinn.com</t>
        </is>
      </c>
      <c r="H22" s="46" t="n">
        <v>1600</v>
      </c>
      <c r="I22" s="46" t="n">
        <v>1600</v>
      </c>
      <c r="J22" s="46" t="n">
        <v>400</v>
      </c>
      <c r="K22" s="46">
        <f>IF(I22="","",I22-J22)</f>
        <v/>
      </c>
      <c r="L22" s="48" t="inlineStr">
        <is>
          <t>Signed</t>
        </is>
      </c>
      <c r="M22" s="48" t="inlineStr">
        <is>
          <t>Deposit Paid</t>
        </is>
      </c>
      <c r="N22" s="47" t="inlineStr">
        <is>
          <t>2027-05-01</t>
        </is>
      </c>
      <c r="O22" s="48" t="n">
        <v>4</v>
      </c>
      <c r="P22" s="45" t="inlineStr"/>
    </row>
    <row r="23" ht="20" customHeight="1">
      <c r="B23" s="44" t="inlineStr">
        <is>
          <t>Local Artisan Market</t>
        </is>
      </c>
      <c r="C23" s="44" t="inlineStr">
        <is>
          <t>Gifts</t>
        </is>
      </c>
      <c r="D23" s="44" t="inlineStr">
        <is>
          <t>Hazel Renner</t>
        </is>
      </c>
      <c r="E23" s="44" t="inlineStr">
        <is>
          <t>707-555-0158</t>
        </is>
      </c>
      <c r="F23" s="44" t="inlineStr">
        <is>
          <t>hazel@localartisanmarket.com</t>
        </is>
      </c>
      <c r="G23" s="44" t="inlineStr">
        <is>
          <t>localartisanmarket.com</t>
        </is>
      </c>
      <c r="H23" s="46" t="n">
        <v>680</v>
      </c>
      <c r="I23" s="46" t="n">
        <v>680</v>
      </c>
      <c r="J23" s="46" t="n">
        <v>0</v>
      </c>
      <c r="K23" s="46">
        <f>IF(I23="","",I23-J23)</f>
        <v/>
      </c>
      <c r="L23" s="48" t="inlineStr">
        <is>
          <t>Not Sent</t>
        </is>
      </c>
      <c r="M23" s="48" t="inlineStr">
        <is>
          <t>Not Started</t>
        </is>
      </c>
      <c r="N23" s="47" t="inlineStr">
        <is>
          <t>2027-05-25</t>
        </is>
      </c>
      <c r="O23" s="48" t="n">
        <v>4</v>
      </c>
      <c r="P23" s="45" t="inlineStr"/>
    </row>
    <row r="24" ht="20" customHeight="1">
      <c r="B24" s="44" t="n"/>
      <c r="C24" s="44" t="n"/>
      <c r="D24" s="44" t="n"/>
      <c r="E24" s="44" t="n"/>
      <c r="F24" s="44" t="n"/>
      <c r="G24" s="44" t="n"/>
      <c r="H24" s="46" t="n"/>
      <c r="I24" s="46" t="n"/>
      <c r="J24" s="46" t="n"/>
      <c r="K24" s="46">
        <f>IF(I24="","",I24-J24)</f>
        <v/>
      </c>
      <c r="L24" s="48" t="n"/>
      <c r="M24" s="48" t="n"/>
      <c r="N24" s="47" t="n"/>
      <c r="O24" s="48" t="n"/>
      <c r="P24" s="45" t="n"/>
    </row>
    <row r="25" ht="20" customHeight="1">
      <c r="B25" s="44" t="n"/>
      <c r="C25" s="44" t="n"/>
      <c r="D25" s="44" t="n"/>
      <c r="E25" s="44" t="n"/>
      <c r="F25" s="44" t="n"/>
      <c r="G25" s="44" t="n"/>
      <c r="H25" s="46" t="n"/>
      <c r="I25" s="46" t="n"/>
      <c r="J25" s="46" t="n"/>
      <c r="K25" s="46">
        <f>IF(I25="","",I25-J25)</f>
        <v/>
      </c>
      <c r="L25" s="48" t="n"/>
      <c r="M25" s="48" t="n"/>
      <c r="N25" s="47" t="n"/>
      <c r="O25" s="48" t="n"/>
      <c r="P25" s="45" t="n"/>
    </row>
    <row r="26" ht="20" customHeight="1">
      <c r="B26" s="44" t="n"/>
      <c r="C26" s="44" t="n"/>
      <c r="D26" s="44" t="n"/>
      <c r="E26" s="44" t="n"/>
      <c r="F26" s="44" t="n"/>
      <c r="G26" s="44" t="n"/>
      <c r="H26" s="46" t="n"/>
      <c r="I26" s="46" t="n"/>
      <c r="J26" s="46" t="n"/>
      <c r="K26" s="46">
        <f>IF(I26="","",I26-J26)</f>
        <v/>
      </c>
      <c r="L26" s="48" t="n"/>
      <c r="M26" s="48" t="n"/>
      <c r="N26" s="47" t="n"/>
      <c r="O26" s="48" t="n"/>
      <c r="P26" s="45" t="n"/>
    </row>
    <row r="27" ht="20" customHeight="1">
      <c r="B27" s="44" t="n"/>
      <c r="C27" s="44" t="n"/>
      <c r="D27" s="44" t="n"/>
      <c r="E27" s="44" t="n"/>
      <c r="F27" s="44" t="n"/>
      <c r="G27" s="44" t="n"/>
      <c r="H27" s="46" t="n"/>
      <c r="I27" s="46" t="n"/>
      <c r="J27" s="46" t="n"/>
      <c r="K27" s="46">
        <f>IF(I27="","",I27-J27)</f>
        <v/>
      </c>
      <c r="L27" s="48" t="n"/>
      <c r="M27" s="48" t="n"/>
      <c r="N27" s="47" t="n"/>
      <c r="O27" s="48" t="n"/>
      <c r="P27" s="45" t="n"/>
    </row>
    <row r="28" ht="20" customHeight="1">
      <c r="B28" s="44" t="n"/>
      <c r="C28" s="44" t="n"/>
      <c r="D28" s="44" t="n"/>
      <c r="E28" s="44" t="n"/>
      <c r="F28" s="44" t="n"/>
      <c r="G28" s="44" t="n"/>
      <c r="H28" s="46" t="n"/>
      <c r="I28" s="46" t="n"/>
      <c r="J28" s="46" t="n"/>
      <c r="K28" s="46">
        <f>IF(I28="","",I28-J28)</f>
        <v/>
      </c>
      <c r="L28" s="48" t="n"/>
      <c r="M28" s="48" t="n"/>
      <c r="N28" s="47" t="n"/>
      <c r="O28" s="48" t="n"/>
      <c r="P28" s="45" t="n"/>
    </row>
    <row r="29" ht="20" customHeight="1">
      <c r="B29" s="44" t="n"/>
      <c r="C29" s="44" t="n"/>
      <c r="D29" s="44" t="n"/>
      <c r="E29" s="44" t="n"/>
      <c r="F29" s="44" t="n"/>
      <c r="G29" s="44" t="n"/>
      <c r="H29" s="46" t="n"/>
      <c r="I29" s="46" t="n"/>
      <c r="J29" s="46" t="n"/>
      <c r="K29" s="46">
        <f>IF(I29="","",I29-J29)</f>
        <v/>
      </c>
      <c r="L29" s="48" t="n"/>
      <c r="M29" s="48" t="n"/>
      <c r="N29" s="47" t="n"/>
      <c r="O29" s="48" t="n"/>
      <c r="P29" s="45" t="n"/>
    </row>
    <row r="30" ht="20" customHeight="1">
      <c r="B30" s="44" t="n"/>
      <c r="C30" s="44" t="n"/>
      <c r="D30" s="44" t="n"/>
      <c r="E30" s="44" t="n"/>
      <c r="F30" s="44" t="n"/>
      <c r="G30" s="44" t="n"/>
      <c r="H30" s="46" t="n"/>
      <c r="I30" s="46" t="n"/>
      <c r="J30" s="46" t="n"/>
      <c r="K30" s="46">
        <f>IF(I30="","",I30-J30)</f>
        <v/>
      </c>
      <c r="L30" s="48" t="n"/>
      <c r="M30" s="48" t="n"/>
      <c r="N30" s="47" t="n"/>
      <c r="O30" s="48" t="n"/>
      <c r="P30" s="45" t="n"/>
    </row>
    <row r="31" ht="20" customHeight="1">
      <c r="B31" s="44" t="n"/>
      <c r="C31" s="44" t="n"/>
      <c r="D31" s="44" t="n"/>
      <c r="E31" s="44" t="n"/>
      <c r="F31" s="44" t="n"/>
      <c r="G31" s="44" t="n"/>
      <c r="H31" s="46" t="n"/>
      <c r="I31" s="46" t="n"/>
      <c r="J31" s="46" t="n"/>
      <c r="K31" s="46">
        <f>IF(I31="","",I31-J31)</f>
        <v/>
      </c>
      <c r="L31" s="48" t="n"/>
      <c r="M31" s="48" t="n"/>
      <c r="N31" s="47" t="n"/>
      <c r="O31" s="48" t="n"/>
      <c r="P31" s="45" t="n"/>
    </row>
    <row r="33">
      <c r="B33" s="5" t="inlineStr">
        <is>
          <t>VENDOR SUMMARY</t>
        </is>
      </c>
    </row>
    <row r="34">
      <c r="B34" s="36">
        <f>COUNTA(B6:B31)</f>
        <v/>
      </c>
      <c r="C34" s="19" t="n"/>
      <c r="D34" s="20" t="n"/>
      <c r="E34" s="36">
        <f>COUNTIF(L6:L31,"Signed")</f>
        <v/>
      </c>
      <c r="F34" s="19" t="n"/>
      <c r="G34" s="20" t="n"/>
      <c r="H34" s="18">
        <f>SUM(K6:K31)</f>
        <v/>
      </c>
      <c r="I34" s="19" t="n"/>
      <c r="J34" s="20" t="n"/>
      <c r="K34" s="36">
        <f>COUNTIF(M6:M31,"Overdue")</f>
        <v/>
      </c>
      <c r="L34" s="19" t="n"/>
      <c r="M34" s="20" t="n"/>
    </row>
    <row r="35">
      <c r="B35" s="30" t="n"/>
      <c r="C35" s="31" t="n"/>
      <c r="D35" s="32" t="n"/>
      <c r="E35" s="30" t="n"/>
      <c r="F35" s="31" t="n"/>
      <c r="G35" s="32" t="n"/>
      <c r="H35" s="30" t="n"/>
      <c r="I35" s="31" t="n"/>
      <c r="J35" s="32" t="n"/>
      <c r="K35" s="30" t="n"/>
      <c r="L35" s="31" t="n"/>
      <c r="M35" s="32" t="n"/>
    </row>
    <row r="36">
      <c r="B36" s="33" t="inlineStr">
        <is>
          <t>TOTAL VENDORS</t>
        </is>
      </c>
      <c r="C36" s="34" t="n"/>
      <c r="D36" s="35" t="n"/>
      <c r="E36" s="33" t="inlineStr">
        <is>
          <t>CONTRACTS SIGNED</t>
        </is>
      </c>
      <c r="F36" s="34" t="n"/>
      <c r="G36" s="35" t="n"/>
      <c r="H36" s="33" t="inlineStr">
        <is>
          <t>OUTSTANDING BALANCE</t>
        </is>
      </c>
      <c r="I36" s="34" t="n"/>
      <c r="J36" s="35" t="n"/>
      <c r="K36" s="33" t="inlineStr">
        <is>
          <t>OVERDUE PAYMENTS</t>
        </is>
      </c>
      <c r="L36" s="34" t="n"/>
      <c r="M36" s="35" t="n"/>
    </row>
  </sheetData>
  <mergeCells count="8">
    <mergeCell ref="B34:D35"/>
    <mergeCell ref="E34:G35"/>
    <mergeCell ref="B36:D36"/>
    <mergeCell ref="E36:G36"/>
    <mergeCell ref="H36:J36"/>
    <mergeCell ref="K34:M35"/>
    <mergeCell ref="K36:M36"/>
    <mergeCell ref="H34:J35"/>
  </mergeCells>
  <conditionalFormatting sqref="L6:L31">
    <cfRule type="expression" priority="1" dxfId="0">
      <formula>EXACT(TRIM(L6),"Signed")</formula>
    </cfRule>
    <cfRule type="expression" priority="2" dxfId="3">
      <formula>EXACT(TRIM(L6),"Sent")</formula>
    </cfRule>
    <cfRule type="expression" priority="3" dxfId="1">
      <formula>EXACT(TRIM(L6),"Not Sent")</formula>
    </cfRule>
  </conditionalFormatting>
  <conditionalFormatting sqref="M6:M31">
    <cfRule type="expression" priority="4" dxfId="0">
      <formula>EXACT(TRIM(M6),"Paid in Full")</formula>
    </cfRule>
    <cfRule type="expression" priority="5" dxfId="1">
      <formula>EXACT(TRIM(M6),"Overdue")</formula>
    </cfRule>
    <cfRule type="expression" priority="6" dxfId="2">
      <formula>EXACT(TRIM(M6),"Deposit Paid")</formula>
    </cfRule>
    <cfRule type="expression" priority="7" dxfId="3">
      <formula>EXACT(TRIM(M6),"Not Started")</formula>
    </cfRule>
  </conditionalFormatting>
  <dataValidations count="4">
    <dataValidation sqref="C6:C31" showDropDown="0" showInputMessage="0" showErrorMessage="0" allowBlank="1" errorTitle="Invalid entry" error="Please choose a value from the list." type="list">
      <formula1>Lists!$F$2:$F$21</formula1>
    </dataValidation>
    <dataValidation sqref="L6:L31" showDropDown="0" showInputMessage="0" showErrorMessage="0" allowBlank="1" errorTitle="Invalid entry" error="Please choose a value from the list." type="list">
      <formula1>Lists!$E$2:$E$5</formula1>
    </dataValidation>
    <dataValidation sqref="M6:M31" showDropDown="0" showInputMessage="0" showErrorMessage="0" allowBlank="1" errorTitle="Invalid entry" error="Please choose a value from the list." type="list">
      <formula1>Lists!$B$2:$B$6</formula1>
    </dataValidation>
    <dataValidation sqref="O6:O31" showDropDown="0" showInputMessage="0" showErrorMessage="0" allowBlank="1" errorTitle="Invalid entry" error="Please choose a value from the list." type="list">
      <formula1>Lists!$Q$2:$Q$6</formula1>
    </dataValidation>
  </dataValidations>
  <hyperlinks>
    <hyperlink ref="B1" location="'Dashboard'!A1"/>
    <hyperlink ref="C1" location="'START HERE'!A1"/>
  </hyperlinks>
  <pageMargins left="0.4" right="0.4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C98F91"/>
    <outlinePr summaryBelow="1" summaryRight="1"/>
    <pageSetUpPr fitToPage="1"/>
  </sheetPr>
  <dimension ref="A1:P70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20" customWidth="1" min="3" max="3"/>
    <col width="12" customWidth="1" min="4" max="4"/>
    <col width="18" customWidth="1" min="5" max="5"/>
    <col width="24" customWidth="1" min="6" max="6"/>
    <col width="15" customWidth="1" min="7" max="7"/>
    <col width="17" customWidth="1" min="8" max="8"/>
    <col width="14" customWidth="1" min="9" max="9"/>
    <col width="10" customWidth="1" min="10" max="10"/>
    <col width="20" customWidth="1" min="11" max="11"/>
    <col width="17" customWidth="1" min="12" max="12"/>
    <col width="22" customWidth="1" min="13" max="13"/>
    <col width="20" customWidth="1" min="14" max="14"/>
    <col width="14" customWidth="1" min="15" max="15"/>
    <col width="20" customWidth="1" min="16" max="16"/>
  </cols>
  <sheetData>
    <row r="1" ht="8" customHeight="1">
      <c r="A1" s="9" t="n"/>
      <c r="B1" s="10" t="inlineStr">
        <is>
          <t>‹ Dashboard</t>
        </is>
      </c>
      <c r="C1" s="10" t="inlineStr">
        <is>
          <t>‹ Start Here</t>
        </is>
      </c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</row>
    <row r="2" ht="30" customHeight="1">
      <c r="A2" s="9" t="n"/>
      <c r="B2" s="41" t="inlineStr">
        <is>
          <t>GUEST LIST &amp; RSVP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 ht="20" customHeight="1">
      <c r="A3" s="16" t="n"/>
      <c r="B3" s="42" t="inlineStr">
        <is>
          <t>Manage every invitee, RSVP and meal preference.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</row>
    <row r="5">
      <c r="B5" s="43" t="inlineStr">
        <is>
          <t>Guest Name</t>
        </is>
      </c>
      <c r="C5" s="43" t="inlineStr">
        <is>
          <t>Household / Group</t>
        </is>
      </c>
      <c r="D5" s="43" t="inlineStr">
        <is>
          <t>Side</t>
        </is>
      </c>
      <c r="E5" s="43" t="inlineStr">
        <is>
          <t>Relationship</t>
        </is>
      </c>
      <c r="F5" s="43" t="inlineStr">
        <is>
          <t>Email</t>
        </is>
      </c>
      <c r="G5" s="43" t="inlineStr">
        <is>
          <t>Phone</t>
        </is>
      </c>
      <c r="H5" s="43" t="inlineStr">
        <is>
          <t>Invitation Sent</t>
        </is>
      </c>
      <c r="I5" s="43" t="inlineStr">
        <is>
          <t>RSVP Status</t>
        </is>
      </c>
      <c r="J5" s="43" t="inlineStr">
        <is>
          <t>Plus One</t>
        </is>
      </c>
      <c r="K5" s="43" t="inlineStr">
        <is>
          <t>Plus One Name</t>
        </is>
      </c>
      <c r="L5" s="43" t="inlineStr">
        <is>
          <t>Meal Preference</t>
        </is>
      </c>
      <c r="M5" s="43" t="inlineStr">
        <is>
          <t>Dietary Restrictions</t>
        </is>
      </c>
      <c r="N5" s="43" t="inlineStr">
        <is>
          <t>Children Attending</t>
        </is>
      </c>
      <c r="O5" s="43" t="inlineStr">
        <is>
          <t>Table Number</t>
        </is>
      </c>
      <c r="P5" s="43" t="inlineStr">
        <is>
          <t>Notes</t>
        </is>
      </c>
    </row>
    <row r="6" ht="20" customHeight="1">
      <c r="B6" s="44" t="inlineStr">
        <is>
          <t>Alexander Nakamura</t>
        </is>
      </c>
      <c r="C6" s="44" t="inlineStr">
        <is>
          <t>Nakamura Family</t>
        </is>
      </c>
      <c r="D6" s="48" t="inlineStr">
        <is>
          <t>Partner 1</t>
        </is>
      </c>
      <c r="E6" s="44" t="inlineStr">
        <is>
          <t>Immediate Family</t>
        </is>
      </c>
      <c r="F6" s="44" t="inlineStr">
        <is>
          <t>alexander.nakamura@example.com</t>
        </is>
      </c>
      <c r="G6" s="44" t="inlineStr">
        <is>
          <t>(200) 555-1000</t>
        </is>
      </c>
      <c r="H6" s="48" t="inlineStr">
        <is>
          <t>Save-the-Date Sent</t>
        </is>
      </c>
      <c r="I6" s="48" t="inlineStr">
        <is>
          <t>Attending</t>
        </is>
      </c>
      <c r="J6" s="48" t="inlineStr">
        <is>
          <t>Yes</t>
        </is>
      </c>
      <c r="K6" s="44" t="inlineStr">
        <is>
          <t>Elizabeth Wallace</t>
        </is>
      </c>
      <c r="L6" s="48" t="inlineStr">
        <is>
          <t>Standard</t>
        </is>
      </c>
      <c r="M6" s="44" t="inlineStr">
        <is>
          <t>None</t>
        </is>
      </c>
      <c r="N6" s="48" t="inlineStr">
        <is>
          <t>Yes</t>
        </is>
      </c>
      <c r="O6" s="48" t="n">
        <v>1</v>
      </c>
      <c r="P6" s="45" t="inlineStr"/>
    </row>
    <row r="7" ht="20" customHeight="1">
      <c r="B7" s="44" t="inlineStr">
        <is>
          <t>Lucas Hartley</t>
        </is>
      </c>
      <c r="C7" s="44" t="inlineStr">
        <is>
          <t>Hartley Family</t>
        </is>
      </c>
      <c r="D7" s="48" t="inlineStr">
        <is>
          <t>Partner 2</t>
        </is>
      </c>
      <c r="E7" s="44" t="inlineStr">
        <is>
          <t>Extended Family</t>
        </is>
      </c>
      <c r="F7" s="44" t="inlineStr">
        <is>
          <t>lucas.hartley@example.com</t>
        </is>
      </c>
      <c r="G7" s="44" t="inlineStr">
        <is>
          <t>(201) 555-1001</t>
        </is>
      </c>
      <c r="H7" s="48" t="inlineStr">
        <is>
          <t>Invitation Sent</t>
        </is>
      </c>
      <c r="I7" s="48" t="inlineStr">
        <is>
          <t>Attending</t>
        </is>
      </c>
      <c r="J7" s="48" t="inlineStr">
        <is>
          <t>No</t>
        </is>
      </c>
      <c r="K7" s="44" t="inlineStr"/>
      <c r="L7" s="48" t="inlineStr">
        <is>
          <t>Vegetarian</t>
        </is>
      </c>
      <c r="M7" s="44" t="inlineStr">
        <is>
          <t>Vegetarian</t>
        </is>
      </c>
      <c r="N7" s="48" t="inlineStr">
        <is>
          <t>No</t>
        </is>
      </c>
      <c r="O7" s="48" t="n">
        <v>2</v>
      </c>
      <c r="P7" s="45" t="inlineStr"/>
    </row>
    <row r="8" ht="20" customHeight="1">
      <c r="B8" s="44" t="inlineStr">
        <is>
          <t>Riley Osei</t>
        </is>
      </c>
      <c r="C8" s="44" t="inlineStr">
        <is>
          <t>Riley Osei</t>
        </is>
      </c>
      <c r="D8" s="48" t="inlineStr">
        <is>
          <t>Both</t>
        </is>
      </c>
      <c r="E8" s="44" t="inlineStr">
        <is>
          <t>College Friend</t>
        </is>
      </c>
      <c r="F8" s="44" t="inlineStr">
        <is>
          <t>riley.osei@example.com</t>
        </is>
      </c>
      <c r="G8" s="44" t="inlineStr">
        <is>
          <t>(202) 555-1002</t>
        </is>
      </c>
      <c r="H8" s="48" t="inlineStr">
        <is>
          <t>Invitation Sent</t>
        </is>
      </c>
      <c r="I8" s="48" t="inlineStr">
        <is>
          <t>Attending</t>
        </is>
      </c>
      <c r="J8" s="48" t="inlineStr">
        <is>
          <t>No</t>
        </is>
      </c>
      <c r="K8" s="44" t="inlineStr"/>
      <c r="L8" s="48" t="inlineStr">
        <is>
          <t>Vegan</t>
        </is>
      </c>
      <c r="M8" s="44" t="inlineStr">
        <is>
          <t>Vegan</t>
        </is>
      </c>
      <c r="N8" s="48" t="inlineStr">
        <is>
          <t>No</t>
        </is>
      </c>
      <c r="O8" s="48" t="n">
        <v>3</v>
      </c>
      <c r="P8" s="45" t="inlineStr"/>
    </row>
    <row r="9" ht="20" customHeight="1">
      <c r="B9" s="44" t="inlineStr">
        <is>
          <t>Elizabeth Mitchell</t>
        </is>
      </c>
      <c r="C9" s="44" t="inlineStr">
        <is>
          <t>Elizabeth Mitchell</t>
        </is>
      </c>
      <c r="D9" s="48" t="inlineStr">
        <is>
          <t>Partner 1</t>
        </is>
      </c>
      <c r="E9" s="44" t="inlineStr">
        <is>
          <t>Work Colleague</t>
        </is>
      </c>
      <c r="F9" s="44" t="inlineStr">
        <is>
          <t>elizabeth.mitchell@example.com</t>
        </is>
      </c>
      <c r="G9" s="44" t="inlineStr">
        <is>
          <t>(203) 555-1003</t>
        </is>
      </c>
      <c r="H9" s="48" t="inlineStr">
        <is>
          <t>Invitation Sent</t>
        </is>
      </c>
      <c r="I9" s="48" t="inlineStr">
        <is>
          <t>Pending</t>
        </is>
      </c>
      <c r="J9" s="48" t="inlineStr">
        <is>
          <t>No</t>
        </is>
      </c>
      <c r="K9" s="44" t="inlineStr"/>
      <c r="L9" s="48" t="inlineStr"/>
      <c r="M9" s="44" t="inlineStr">
        <is>
          <t>None</t>
        </is>
      </c>
      <c r="N9" s="48" t="inlineStr">
        <is>
          <t>No</t>
        </is>
      </c>
      <c r="O9" s="48" t="inlineStr"/>
      <c r="P9" s="45" t="inlineStr"/>
    </row>
    <row r="10" ht="20" customHeight="1">
      <c r="B10" s="44" t="inlineStr">
        <is>
          <t>Mia Barrett</t>
        </is>
      </c>
      <c r="C10" s="44" t="inlineStr">
        <is>
          <t>Mia Barrett</t>
        </is>
      </c>
      <c r="D10" s="48" t="inlineStr">
        <is>
          <t>Partner 2</t>
        </is>
      </c>
      <c r="E10" s="44" t="inlineStr">
        <is>
          <t>Childhood Friend</t>
        </is>
      </c>
      <c r="F10" s="44" t="inlineStr">
        <is>
          <t>mia.barrett@example.com</t>
        </is>
      </c>
      <c r="G10" s="44" t="inlineStr">
        <is>
          <t>(204) 555-1004</t>
        </is>
      </c>
      <c r="H10" s="48" t="inlineStr">
        <is>
          <t>Invitation Sent</t>
        </is>
      </c>
      <c r="I10" s="48" t="inlineStr">
        <is>
          <t>Attending</t>
        </is>
      </c>
      <c r="J10" s="48" t="inlineStr">
        <is>
          <t>Yes</t>
        </is>
      </c>
      <c r="K10" s="44" t="inlineStr">
        <is>
          <t>Skylar Vance</t>
        </is>
      </c>
      <c r="L10" s="48" t="inlineStr">
        <is>
          <t>Kids Meal</t>
        </is>
      </c>
      <c r="M10" s="44" t="inlineStr">
        <is>
          <t>Kids Meal</t>
        </is>
      </c>
      <c r="N10" s="48" t="inlineStr">
        <is>
          <t>No</t>
        </is>
      </c>
      <c r="O10" s="48" t="n">
        <v>5</v>
      </c>
      <c r="P10" s="45" t="inlineStr"/>
    </row>
    <row r="11" ht="20" customHeight="1">
      <c r="B11" s="44" t="inlineStr">
        <is>
          <t>Brooklyn Carter</t>
        </is>
      </c>
      <c r="C11" s="44" t="inlineStr">
        <is>
          <t>Brooklyn Carter</t>
        </is>
      </c>
      <c r="D11" s="48" t="inlineStr">
        <is>
          <t>Both</t>
        </is>
      </c>
      <c r="E11" s="44" t="inlineStr">
        <is>
          <t>Neighbor</t>
        </is>
      </c>
      <c r="F11" s="44" t="inlineStr">
        <is>
          <t>brooklyn.carter@example.com</t>
        </is>
      </c>
      <c r="G11" s="44" t="inlineStr">
        <is>
          <t>(205) 555-1005</t>
        </is>
      </c>
      <c r="H11" s="48" t="inlineStr">
        <is>
          <t>Invitation Sent</t>
        </is>
      </c>
      <c r="I11" s="48" t="inlineStr">
        <is>
          <t>Declined</t>
        </is>
      </c>
      <c r="J11" s="48" t="inlineStr">
        <is>
          <t>No</t>
        </is>
      </c>
      <c r="K11" s="44" t="inlineStr"/>
      <c r="L11" s="48" t="inlineStr"/>
      <c r="M11" s="44" t="inlineStr">
        <is>
          <t>None</t>
        </is>
      </c>
      <c r="N11" s="48" t="inlineStr">
        <is>
          <t>No</t>
        </is>
      </c>
      <c r="O11" s="48" t="inlineStr"/>
      <c r="P11" s="45" t="inlineStr"/>
    </row>
    <row r="12" ht="20" customHeight="1">
      <c r="B12" s="44" t="inlineStr">
        <is>
          <t>Michael Whitaker</t>
        </is>
      </c>
      <c r="C12" s="44" t="inlineStr">
        <is>
          <t>Michael Whitaker</t>
        </is>
      </c>
      <c r="D12" s="48" t="inlineStr">
        <is>
          <t>Partner 1</t>
        </is>
      </c>
      <c r="E12" s="44" t="inlineStr">
        <is>
          <t>Family Friend</t>
        </is>
      </c>
      <c r="F12" s="44" t="inlineStr">
        <is>
          <t>michael.whitaker@example.com</t>
        </is>
      </c>
      <c r="G12" s="44" t="inlineStr">
        <is>
          <t>(206) 555-1006</t>
        </is>
      </c>
      <c r="H12" s="48" t="inlineStr">
        <is>
          <t>Invitation Sent</t>
        </is>
      </c>
      <c r="I12" s="48" t="inlineStr">
        <is>
          <t>Tentative</t>
        </is>
      </c>
      <c r="J12" s="48" t="inlineStr">
        <is>
          <t>No</t>
        </is>
      </c>
      <c r="K12" s="44" t="inlineStr"/>
      <c r="L12" s="48" t="inlineStr"/>
      <c r="M12" s="44" t="inlineStr">
        <is>
          <t>None</t>
        </is>
      </c>
      <c r="N12" s="48" t="inlineStr">
        <is>
          <t>No</t>
        </is>
      </c>
      <c r="O12" s="48" t="inlineStr"/>
      <c r="P12" s="45" t="inlineStr"/>
    </row>
    <row r="13" ht="20" customHeight="1">
      <c r="B13" s="44" t="inlineStr">
        <is>
          <t>Abigail Kowalski</t>
        </is>
      </c>
      <c r="C13" s="44" t="inlineStr">
        <is>
          <t>Kowalski Family</t>
        </is>
      </c>
      <c r="D13" s="48" t="inlineStr">
        <is>
          <t>Partner 2</t>
        </is>
      </c>
      <c r="E13" s="44" t="inlineStr">
        <is>
          <t>Immediate Family</t>
        </is>
      </c>
      <c r="F13" s="44" t="inlineStr">
        <is>
          <t>abigail.kowalski@example.com</t>
        </is>
      </c>
      <c r="G13" s="44" t="inlineStr">
        <is>
          <t>(207) 555-1007</t>
        </is>
      </c>
      <c r="H13" s="48" t="inlineStr">
        <is>
          <t>Invitation Sent</t>
        </is>
      </c>
      <c r="I13" s="48" t="inlineStr">
        <is>
          <t>Attending</t>
        </is>
      </c>
      <c r="J13" s="48" t="inlineStr">
        <is>
          <t>No</t>
        </is>
      </c>
      <c r="K13" s="44" t="inlineStr"/>
      <c r="L13" s="48" t="inlineStr">
        <is>
          <t>Vegan</t>
        </is>
      </c>
      <c r="M13" s="44" t="inlineStr">
        <is>
          <t>Vegan</t>
        </is>
      </c>
      <c r="N13" s="48" t="inlineStr">
        <is>
          <t>No</t>
        </is>
      </c>
      <c r="O13" s="48" t="n">
        <v>8</v>
      </c>
      <c r="P13" s="45" t="inlineStr"/>
    </row>
    <row r="14" ht="20" customHeight="1">
      <c r="B14" s="44" t="inlineStr">
        <is>
          <t>Logan Patel</t>
        </is>
      </c>
      <c r="C14" s="44" t="inlineStr">
        <is>
          <t>Patel Family</t>
        </is>
      </c>
      <c r="D14" s="48" t="inlineStr">
        <is>
          <t>Both</t>
        </is>
      </c>
      <c r="E14" s="44" t="inlineStr">
        <is>
          <t>Extended Family</t>
        </is>
      </c>
      <c r="F14" s="44" t="inlineStr">
        <is>
          <t>logan.patel@example.com</t>
        </is>
      </c>
      <c r="G14" s="44" t="inlineStr">
        <is>
          <t>(208) 555-1008</t>
        </is>
      </c>
      <c r="H14" s="48" t="inlineStr">
        <is>
          <t>Invitation Sent</t>
        </is>
      </c>
      <c r="I14" s="48" t="inlineStr">
        <is>
          <t>Attending</t>
        </is>
      </c>
      <c r="J14" s="48" t="inlineStr">
        <is>
          <t>Yes</t>
        </is>
      </c>
      <c r="K14" s="44" t="inlineStr">
        <is>
          <t>Evelyn Sinclair</t>
        </is>
      </c>
      <c r="L14" s="48" t="inlineStr">
        <is>
          <t>Gluten-Free</t>
        </is>
      </c>
      <c r="M14" s="44" t="inlineStr">
        <is>
          <t>Gluten-Free</t>
        </is>
      </c>
      <c r="N14" s="48" t="inlineStr">
        <is>
          <t>No</t>
        </is>
      </c>
      <c r="O14" s="48" t="n">
        <v>9</v>
      </c>
      <c r="P14" s="45" t="inlineStr"/>
    </row>
    <row r="15" ht="20" customHeight="1">
      <c r="B15" s="44" t="inlineStr">
        <is>
          <t>Grace Foster</t>
        </is>
      </c>
      <c r="C15" s="44" t="inlineStr">
        <is>
          <t>Grace Foster</t>
        </is>
      </c>
      <c r="D15" s="48" t="inlineStr">
        <is>
          <t>Partner 1</t>
        </is>
      </c>
      <c r="E15" s="44" t="inlineStr">
        <is>
          <t>College Friend</t>
        </is>
      </c>
      <c r="F15" s="44" t="inlineStr">
        <is>
          <t>grace.foster@example.com</t>
        </is>
      </c>
      <c r="G15" s="44" t="inlineStr">
        <is>
          <t>(209) 555-1009</t>
        </is>
      </c>
      <c r="H15" s="48" t="inlineStr">
        <is>
          <t>Invitation Sent</t>
        </is>
      </c>
      <c r="I15" s="48" t="inlineStr">
        <is>
          <t>Attending</t>
        </is>
      </c>
      <c r="J15" s="48" t="inlineStr">
        <is>
          <t>No</t>
        </is>
      </c>
      <c r="K15" s="44" t="inlineStr"/>
      <c r="L15" s="48" t="inlineStr">
        <is>
          <t>Kids Meal</t>
        </is>
      </c>
      <c r="M15" s="44" t="inlineStr">
        <is>
          <t>Kids Meal</t>
        </is>
      </c>
      <c r="N15" s="48" t="inlineStr">
        <is>
          <t>Yes</t>
        </is>
      </c>
      <c r="O15" s="48" t="n">
        <v>10</v>
      </c>
      <c r="P15" s="45" t="inlineStr"/>
    </row>
    <row r="16" ht="20" customHeight="1">
      <c r="B16" s="44" t="inlineStr">
        <is>
          <t>Sebastian Wallace</t>
        </is>
      </c>
      <c r="C16" s="44" t="inlineStr">
        <is>
          <t>Sebastian Wallace</t>
        </is>
      </c>
      <c r="D16" s="48" t="inlineStr">
        <is>
          <t>Partner 2</t>
        </is>
      </c>
      <c r="E16" s="44" t="inlineStr">
        <is>
          <t>Work Colleague</t>
        </is>
      </c>
      <c r="F16" s="44" t="inlineStr">
        <is>
          <t>sebastian.wallace@example.com</t>
        </is>
      </c>
      <c r="G16" s="44" t="inlineStr">
        <is>
          <t>(210) 555-1010</t>
        </is>
      </c>
      <c r="H16" s="48" t="inlineStr">
        <is>
          <t>Invitation Sent</t>
        </is>
      </c>
      <c r="I16" s="48" t="inlineStr">
        <is>
          <t>Pending</t>
        </is>
      </c>
      <c r="J16" s="48" t="inlineStr">
        <is>
          <t>No</t>
        </is>
      </c>
      <c r="K16" s="44" t="inlineStr"/>
      <c r="L16" s="48" t="inlineStr"/>
      <c r="M16" s="44" t="inlineStr">
        <is>
          <t>None</t>
        </is>
      </c>
      <c r="N16" s="48" t="inlineStr">
        <is>
          <t>No</t>
        </is>
      </c>
      <c r="O16" s="48" t="inlineStr"/>
      <c r="P16" s="45" t="inlineStr"/>
    </row>
    <row r="17" ht="20" customHeight="1">
      <c r="B17" s="44" t="inlineStr">
        <is>
          <t>William Bennett</t>
        </is>
      </c>
      <c r="C17" s="44" t="inlineStr">
        <is>
          <t>William Bennett</t>
        </is>
      </c>
      <c r="D17" s="48" t="inlineStr">
        <is>
          <t>Both</t>
        </is>
      </c>
      <c r="E17" s="44" t="inlineStr">
        <is>
          <t>Childhood Friend</t>
        </is>
      </c>
      <c r="F17" s="44" t="inlineStr">
        <is>
          <t>william.bennett@example.com</t>
        </is>
      </c>
      <c r="G17" s="44" t="inlineStr">
        <is>
          <t>(211) 555-1011</t>
        </is>
      </c>
      <c r="H17" s="48" t="inlineStr">
        <is>
          <t>Save-the-Date Sent</t>
        </is>
      </c>
      <c r="I17" s="48" t="inlineStr">
        <is>
          <t>Attending</t>
        </is>
      </c>
      <c r="J17" s="48" t="inlineStr">
        <is>
          <t>No</t>
        </is>
      </c>
      <c r="K17" s="44" t="inlineStr"/>
      <c r="L17" s="48" t="inlineStr">
        <is>
          <t>Vegetarian</t>
        </is>
      </c>
      <c r="M17" s="44" t="inlineStr">
        <is>
          <t>Vegetarian</t>
        </is>
      </c>
      <c r="N17" s="48" t="inlineStr">
        <is>
          <t>No</t>
        </is>
      </c>
      <c r="O17" s="48" t="n">
        <v>12</v>
      </c>
      <c r="P17" s="45" t="inlineStr"/>
    </row>
    <row r="18" ht="20" customHeight="1">
      <c r="B18" s="44" t="inlineStr">
        <is>
          <t>Sofia Nakamura</t>
        </is>
      </c>
      <c r="C18" s="44" t="inlineStr">
        <is>
          <t>Sofia Nakamura</t>
        </is>
      </c>
      <c r="D18" s="48" t="inlineStr">
        <is>
          <t>Partner 1</t>
        </is>
      </c>
      <c r="E18" s="44" t="inlineStr">
        <is>
          <t>Neighbor</t>
        </is>
      </c>
      <c r="F18" s="44" t="inlineStr">
        <is>
          <t>sofia.nakamura@example.com</t>
        </is>
      </c>
      <c r="G18" s="44" t="inlineStr">
        <is>
          <t>(212) 555-1012</t>
        </is>
      </c>
      <c r="H18" s="48" t="inlineStr">
        <is>
          <t>Invitation Sent</t>
        </is>
      </c>
      <c r="I18" s="48" t="inlineStr">
        <is>
          <t>Declined</t>
        </is>
      </c>
      <c r="J18" s="48" t="inlineStr">
        <is>
          <t>Yes</t>
        </is>
      </c>
      <c r="K18" s="44" t="inlineStr">
        <is>
          <t>Isabella Whitaker</t>
        </is>
      </c>
      <c r="L18" s="48" t="inlineStr"/>
      <c r="M18" s="44" t="inlineStr">
        <is>
          <t>None</t>
        </is>
      </c>
      <c r="N18" s="48" t="inlineStr">
        <is>
          <t>No</t>
        </is>
      </c>
      <c r="O18" s="48" t="inlineStr"/>
      <c r="P18" s="45" t="inlineStr"/>
    </row>
    <row r="19" ht="20" customHeight="1">
      <c r="B19" s="44" t="inlineStr">
        <is>
          <t>Isabella Hartley</t>
        </is>
      </c>
      <c r="C19" s="44" t="inlineStr">
        <is>
          <t>Isabella Hartley</t>
        </is>
      </c>
      <c r="D19" s="48" t="inlineStr">
        <is>
          <t>Partner 2</t>
        </is>
      </c>
      <c r="E19" s="44" t="inlineStr">
        <is>
          <t>Family Friend</t>
        </is>
      </c>
      <c r="F19" s="44" t="inlineStr">
        <is>
          <t>isabella.hartley@example.com</t>
        </is>
      </c>
      <c r="G19" s="44" t="inlineStr">
        <is>
          <t>(213) 555-1013</t>
        </is>
      </c>
      <c r="H19" s="48" t="inlineStr">
        <is>
          <t>Invitation Sent</t>
        </is>
      </c>
      <c r="I19" s="48" t="inlineStr">
        <is>
          <t>Tentative</t>
        </is>
      </c>
      <c r="J19" s="48" t="inlineStr">
        <is>
          <t>No</t>
        </is>
      </c>
      <c r="K19" s="44" t="inlineStr"/>
      <c r="L19" s="48" t="inlineStr"/>
      <c r="M19" s="44" t="inlineStr">
        <is>
          <t>None</t>
        </is>
      </c>
      <c r="N19" s="48" t="inlineStr">
        <is>
          <t>No</t>
        </is>
      </c>
      <c r="O19" s="48" t="inlineStr"/>
      <c r="P19" s="45" t="inlineStr"/>
    </row>
    <row r="20" ht="20" customHeight="1">
      <c r="B20" s="44" t="inlineStr">
        <is>
          <t>Carter Osei</t>
        </is>
      </c>
      <c r="C20" s="44" t="inlineStr">
        <is>
          <t>Osei Family</t>
        </is>
      </c>
      <c r="D20" s="48" t="inlineStr">
        <is>
          <t>Both</t>
        </is>
      </c>
      <c r="E20" s="44" t="inlineStr">
        <is>
          <t>Immediate Family</t>
        </is>
      </c>
      <c r="F20" s="44" t="inlineStr">
        <is>
          <t>carter.osei@example.com</t>
        </is>
      </c>
      <c r="G20" s="44" t="inlineStr">
        <is>
          <t>(214) 555-1014</t>
        </is>
      </c>
      <c r="H20" s="48" t="inlineStr">
        <is>
          <t>Invitation Sent</t>
        </is>
      </c>
      <c r="I20" s="48" t="inlineStr">
        <is>
          <t>Attending</t>
        </is>
      </c>
      <c r="J20" s="48" t="inlineStr">
        <is>
          <t>No</t>
        </is>
      </c>
      <c r="K20" s="44" t="inlineStr"/>
      <c r="L20" s="48" t="inlineStr">
        <is>
          <t>Kids Meal</t>
        </is>
      </c>
      <c r="M20" s="44" t="inlineStr">
        <is>
          <t>Kids Meal</t>
        </is>
      </c>
      <c r="N20" s="48" t="inlineStr">
        <is>
          <t>No</t>
        </is>
      </c>
      <c r="O20" s="48" t="n">
        <v>15</v>
      </c>
      <c r="P20" s="45" t="inlineStr"/>
    </row>
    <row r="21" ht="20" customHeight="1">
      <c r="B21" s="44" t="inlineStr">
        <is>
          <t>John Mitchell</t>
        </is>
      </c>
      <c r="C21" s="44" t="inlineStr">
        <is>
          <t>Mitchell Family</t>
        </is>
      </c>
      <c r="D21" s="48" t="inlineStr">
        <is>
          <t>Partner 1</t>
        </is>
      </c>
      <c r="E21" s="44" t="inlineStr">
        <is>
          <t>Extended Family</t>
        </is>
      </c>
      <c r="F21" s="44" t="inlineStr">
        <is>
          <t>john.mitchell@example.com</t>
        </is>
      </c>
      <c r="G21" s="44" t="inlineStr">
        <is>
          <t>(215) 555-1015</t>
        </is>
      </c>
      <c r="H21" s="48" t="inlineStr">
        <is>
          <t>Invitation Sent</t>
        </is>
      </c>
      <c r="I21" s="48" t="inlineStr">
        <is>
          <t>Attending</t>
        </is>
      </c>
      <c r="J21" s="48" t="inlineStr">
        <is>
          <t>No</t>
        </is>
      </c>
      <c r="K21" s="44" t="inlineStr"/>
      <c r="L21" s="48" t="inlineStr">
        <is>
          <t>Standard</t>
        </is>
      </c>
      <c r="M21" s="44" t="inlineStr">
        <is>
          <t>None</t>
        </is>
      </c>
      <c r="N21" s="48" t="inlineStr">
        <is>
          <t>No</t>
        </is>
      </c>
      <c r="O21" s="48" t="n">
        <v>1</v>
      </c>
      <c r="P21" s="45" t="inlineStr"/>
    </row>
    <row r="22" ht="20" customHeight="1">
      <c r="B22" s="44" t="inlineStr">
        <is>
          <t>Emily Barrett</t>
        </is>
      </c>
      <c r="C22" s="44" t="inlineStr">
        <is>
          <t>Emily Barrett</t>
        </is>
      </c>
      <c r="D22" s="48" t="inlineStr">
        <is>
          <t>Partner 2</t>
        </is>
      </c>
      <c r="E22" s="44" t="inlineStr">
        <is>
          <t>College Friend</t>
        </is>
      </c>
      <c r="F22" s="44" t="inlineStr">
        <is>
          <t>emily.barrett@example.com</t>
        </is>
      </c>
      <c r="G22" s="44" t="inlineStr">
        <is>
          <t>(216) 555-1016</t>
        </is>
      </c>
      <c r="H22" s="48" t="inlineStr">
        <is>
          <t>Invitation Sent</t>
        </is>
      </c>
      <c r="I22" s="48" t="inlineStr">
        <is>
          <t>Attending</t>
        </is>
      </c>
      <c r="J22" s="48" t="inlineStr">
        <is>
          <t>Yes</t>
        </is>
      </c>
      <c r="K22" s="44" t="inlineStr">
        <is>
          <t>Audrey Marsh</t>
        </is>
      </c>
      <c r="L22" s="48" t="inlineStr">
        <is>
          <t>Vegetarian</t>
        </is>
      </c>
      <c r="M22" s="44" t="inlineStr">
        <is>
          <t>Vegetarian</t>
        </is>
      </c>
      <c r="N22" s="48" t="inlineStr">
        <is>
          <t>No</t>
        </is>
      </c>
      <c r="O22" s="48" t="n">
        <v>2</v>
      </c>
      <c r="P22" s="45" t="inlineStr"/>
    </row>
    <row r="23" ht="20" customHeight="1">
      <c r="B23" s="44" t="inlineStr">
        <is>
          <t>Henry Carter</t>
        </is>
      </c>
      <c r="C23" s="44" t="inlineStr">
        <is>
          <t>Henry Carter</t>
        </is>
      </c>
      <c r="D23" s="48" t="inlineStr">
        <is>
          <t>Both</t>
        </is>
      </c>
      <c r="E23" s="44" t="inlineStr">
        <is>
          <t>Work Colleague</t>
        </is>
      </c>
      <c r="F23" s="44" t="inlineStr">
        <is>
          <t>henry.carter@example.com</t>
        </is>
      </c>
      <c r="G23" s="44" t="inlineStr">
        <is>
          <t>(217) 555-1017</t>
        </is>
      </c>
      <c r="H23" s="48" t="inlineStr">
        <is>
          <t>Invitation Sent</t>
        </is>
      </c>
      <c r="I23" s="48" t="inlineStr">
        <is>
          <t>Pending</t>
        </is>
      </c>
      <c r="J23" s="48" t="inlineStr">
        <is>
          <t>No</t>
        </is>
      </c>
      <c r="K23" s="44" t="inlineStr"/>
      <c r="L23" s="48" t="inlineStr"/>
      <c r="M23" s="44" t="inlineStr">
        <is>
          <t>None</t>
        </is>
      </c>
      <c r="N23" s="48" t="inlineStr">
        <is>
          <t>No</t>
        </is>
      </c>
      <c r="O23" s="48" t="inlineStr"/>
      <c r="P23" s="45" t="inlineStr"/>
    </row>
    <row r="24" ht="20" customHeight="1">
      <c r="B24" s="44" t="inlineStr">
        <is>
          <t>Joseph Whitaker</t>
        </is>
      </c>
      <c r="C24" s="44" t="inlineStr">
        <is>
          <t>Joseph Whitaker</t>
        </is>
      </c>
      <c r="D24" s="48" t="inlineStr">
        <is>
          <t>Partner 1</t>
        </is>
      </c>
      <c r="E24" s="44" t="inlineStr">
        <is>
          <t>Childhood Friend</t>
        </is>
      </c>
      <c r="F24" s="44" t="inlineStr">
        <is>
          <t>joseph.whitaker@example.com</t>
        </is>
      </c>
      <c r="G24" s="44" t="inlineStr">
        <is>
          <t>(218) 555-1018</t>
        </is>
      </c>
      <c r="H24" s="48" t="inlineStr">
        <is>
          <t>Invitation Sent</t>
        </is>
      </c>
      <c r="I24" s="48" t="inlineStr">
        <is>
          <t>Attending</t>
        </is>
      </c>
      <c r="J24" s="48" t="inlineStr">
        <is>
          <t>No</t>
        </is>
      </c>
      <c r="K24" s="44" t="inlineStr"/>
      <c r="L24" s="48" t="inlineStr">
        <is>
          <t>Gluten-Free</t>
        </is>
      </c>
      <c r="M24" s="44" t="inlineStr">
        <is>
          <t>Gluten-Free</t>
        </is>
      </c>
      <c r="N24" s="48" t="inlineStr">
        <is>
          <t>Yes</t>
        </is>
      </c>
      <c r="O24" s="48" t="n">
        <v>4</v>
      </c>
      <c r="P24" s="45" t="inlineStr"/>
    </row>
    <row r="25" ht="20" customHeight="1">
      <c r="B25" s="44" t="inlineStr">
        <is>
          <t>Olivia Kowalski</t>
        </is>
      </c>
      <c r="C25" s="44" t="inlineStr">
        <is>
          <t>Olivia Kowalski</t>
        </is>
      </c>
      <c r="D25" s="48" t="inlineStr">
        <is>
          <t>Partner 2</t>
        </is>
      </c>
      <c r="E25" s="44" t="inlineStr">
        <is>
          <t>Neighbor</t>
        </is>
      </c>
      <c r="F25" s="44" t="inlineStr">
        <is>
          <t>olivia.kowalski@example.com</t>
        </is>
      </c>
      <c r="G25" s="44" t="inlineStr">
        <is>
          <t>(219) 555-1019</t>
        </is>
      </c>
      <c r="H25" s="48" t="inlineStr">
        <is>
          <t>Invitation Sent</t>
        </is>
      </c>
      <c r="I25" s="48" t="inlineStr">
        <is>
          <t>Declined</t>
        </is>
      </c>
      <c r="J25" s="48" t="inlineStr">
        <is>
          <t>No</t>
        </is>
      </c>
      <c r="K25" s="44" t="inlineStr"/>
      <c r="L25" s="48" t="inlineStr"/>
      <c r="M25" s="44" t="inlineStr">
        <is>
          <t>None</t>
        </is>
      </c>
      <c r="N25" s="48" t="inlineStr">
        <is>
          <t>No</t>
        </is>
      </c>
      <c r="O25" s="48" t="inlineStr"/>
      <c r="P25" s="45" t="inlineStr"/>
    </row>
    <row r="26" ht="20" customHeight="1">
      <c r="B26" s="44" t="inlineStr">
        <is>
          <t>Savannah Patel</t>
        </is>
      </c>
      <c r="C26" s="44" t="inlineStr">
        <is>
          <t>Savannah Patel</t>
        </is>
      </c>
      <c r="D26" s="48" t="inlineStr">
        <is>
          <t>Both</t>
        </is>
      </c>
      <c r="E26" s="44" t="inlineStr">
        <is>
          <t>Family Friend</t>
        </is>
      </c>
      <c r="F26" s="44" t="inlineStr">
        <is>
          <t>savannah.patel@example.com</t>
        </is>
      </c>
      <c r="G26" s="44" t="inlineStr">
        <is>
          <t>(220) 555-1020</t>
        </is>
      </c>
      <c r="H26" s="48" t="inlineStr">
        <is>
          <t>Invitation Sent</t>
        </is>
      </c>
      <c r="I26" s="48" t="inlineStr">
        <is>
          <t>Tentative</t>
        </is>
      </c>
      <c r="J26" s="48" t="inlineStr">
        <is>
          <t>Yes</t>
        </is>
      </c>
      <c r="K26" s="44" t="inlineStr">
        <is>
          <t>Elizabeth Chambers</t>
        </is>
      </c>
      <c r="L26" s="48" t="inlineStr"/>
      <c r="M26" s="44" t="inlineStr">
        <is>
          <t>None</t>
        </is>
      </c>
      <c r="N26" s="48" t="inlineStr">
        <is>
          <t>No</t>
        </is>
      </c>
      <c r="O26" s="48" t="inlineStr"/>
      <c r="P26" s="45" t="inlineStr"/>
    </row>
    <row r="27" ht="20" customHeight="1">
      <c r="B27" s="44" t="inlineStr">
        <is>
          <t>Victoria Foster</t>
        </is>
      </c>
      <c r="C27" s="44" t="inlineStr">
        <is>
          <t>Foster Family</t>
        </is>
      </c>
      <c r="D27" s="48" t="inlineStr">
        <is>
          <t>Partner 1</t>
        </is>
      </c>
      <c r="E27" s="44" t="inlineStr">
        <is>
          <t>Immediate Family</t>
        </is>
      </c>
      <c r="F27" s="44" t="inlineStr">
        <is>
          <t>victoria.foster@example.com</t>
        </is>
      </c>
      <c r="G27" s="44" t="inlineStr">
        <is>
          <t>(221) 555-1021</t>
        </is>
      </c>
      <c r="H27" s="48" t="inlineStr">
        <is>
          <t>Invitation Sent</t>
        </is>
      </c>
      <c r="I27" s="48" t="inlineStr">
        <is>
          <t>Attending</t>
        </is>
      </c>
      <c r="J27" s="48" t="inlineStr">
        <is>
          <t>No</t>
        </is>
      </c>
      <c r="K27" s="44" t="inlineStr"/>
      <c r="L27" s="48" t="inlineStr">
        <is>
          <t>Vegetarian</t>
        </is>
      </c>
      <c r="M27" s="44" t="inlineStr">
        <is>
          <t>Vegetarian</t>
        </is>
      </c>
      <c r="N27" s="48" t="inlineStr">
        <is>
          <t>No</t>
        </is>
      </c>
      <c r="O27" s="48" t="n">
        <v>7</v>
      </c>
      <c r="P27" s="45" t="inlineStr"/>
    </row>
    <row r="28" ht="20" customHeight="1">
      <c r="B28" s="44" t="inlineStr">
        <is>
          <t>Samuel Wallace</t>
        </is>
      </c>
      <c r="C28" s="44" t="inlineStr">
        <is>
          <t>Wallace Family</t>
        </is>
      </c>
      <c r="D28" s="48" t="inlineStr">
        <is>
          <t>Partner 2</t>
        </is>
      </c>
      <c r="E28" s="44" t="inlineStr">
        <is>
          <t>Extended Family</t>
        </is>
      </c>
      <c r="F28" s="44" t="inlineStr">
        <is>
          <t>samuel.wallace@example.com</t>
        </is>
      </c>
      <c r="G28" s="44" t="inlineStr">
        <is>
          <t>(222) 555-1022</t>
        </is>
      </c>
      <c r="H28" s="48" t="inlineStr">
        <is>
          <t>Save-the-Date Sent</t>
        </is>
      </c>
      <c r="I28" s="48" t="inlineStr">
        <is>
          <t>Attending</t>
        </is>
      </c>
      <c r="J28" s="48" t="inlineStr">
        <is>
          <t>No</t>
        </is>
      </c>
      <c r="K28" s="44" t="inlineStr"/>
      <c r="L28" s="48" t="inlineStr">
        <is>
          <t>Vegan</t>
        </is>
      </c>
      <c r="M28" s="44" t="inlineStr">
        <is>
          <t>Vegan</t>
        </is>
      </c>
      <c r="N28" s="48" t="inlineStr">
        <is>
          <t>No</t>
        </is>
      </c>
      <c r="O28" s="48" t="n">
        <v>8</v>
      </c>
      <c r="P28" s="45" t="inlineStr"/>
    </row>
    <row r="29" ht="20" customHeight="1">
      <c r="B29" s="44" t="inlineStr">
        <is>
          <t>Skylar Bennett</t>
        </is>
      </c>
      <c r="C29" s="44" t="inlineStr">
        <is>
          <t>Skylar Bennett</t>
        </is>
      </c>
      <c r="D29" s="48" t="inlineStr">
        <is>
          <t>Both</t>
        </is>
      </c>
      <c r="E29" s="44" t="inlineStr">
        <is>
          <t>College Friend</t>
        </is>
      </c>
      <c r="F29" s="44" t="inlineStr">
        <is>
          <t>skylar.bennett@example.com</t>
        </is>
      </c>
      <c r="G29" s="44" t="inlineStr">
        <is>
          <t>(223) 555-1023</t>
        </is>
      </c>
      <c r="H29" s="48" t="inlineStr">
        <is>
          <t>Invitation Sent</t>
        </is>
      </c>
      <c r="I29" s="48" t="inlineStr">
        <is>
          <t>Attending</t>
        </is>
      </c>
      <c r="J29" s="48" t="inlineStr">
        <is>
          <t>No</t>
        </is>
      </c>
      <c r="K29" s="44" t="inlineStr"/>
      <c r="L29" s="48" t="inlineStr">
        <is>
          <t>Gluten-Free</t>
        </is>
      </c>
      <c r="M29" s="44" t="inlineStr">
        <is>
          <t>Gluten-Free</t>
        </is>
      </c>
      <c r="N29" s="48" t="inlineStr">
        <is>
          <t>No</t>
        </is>
      </c>
      <c r="O29" s="48" t="n">
        <v>9</v>
      </c>
      <c r="P29" s="45" t="inlineStr"/>
    </row>
    <row r="30" ht="20" customHeight="1">
      <c r="B30" s="44" t="inlineStr">
        <is>
          <t>Hazel Nakamura</t>
        </is>
      </c>
      <c r="C30" s="44" t="inlineStr">
        <is>
          <t>Hazel Nakamura</t>
        </is>
      </c>
      <c r="D30" s="48" t="inlineStr">
        <is>
          <t>Partner 1</t>
        </is>
      </c>
      <c r="E30" s="44" t="inlineStr">
        <is>
          <t>Work Colleague</t>
        </is>
      </c>
      <c r="F30" s="44" t="inlineStr">
        <is>
          <t>hazel.nakamura@example.com</t>
        </is>
      </c>
      <c r="G30" s="44" t="inlineStr">
        <is>
          <t>(224) 555-1024</t>
        </is>
      </c>
      <c r="H30" s="48" t="inlineStr">
        <is>
          <t>Invitation Sent</t>
        </is>
      </c>
      <c r="I30" s="48" t="inlineStr">
        <is>
          <t>Pending</t>
        </is>
      </c>
      <c r="J30" s="48" t="inlineStr">
        <is>
          <t>Yes</t>
        </is>
      </c>
      <c r="K30" s="44" t="inlineStr">
        <is>
          <t>Skylar Osei</t>
        </is>
      </c>
      <c r="L30" s="48" t="inlineStr"/>
      <c r="M30" s="44" t="inlineStr">
        <is>
          <t>None</t>
        </is>
      </c>
      <c r="N30" s="48" t="inlineStr">
        <is>
          <t>No</t>
        </is>
      </c>
      <c r="O30" s="48" t="inlineStr"/>
      <c r="P30" s="45" t="inlineStr"/>
    </row>
    <row r="31" ht="20" customHeight="1">
      <c r="B31" s="44" t="inlineStr">
        <is>
          <t>Jackson Hartley</t>
        </is>
      </c>
      <c r="C31" s="44" t="inlineStr">
        <is>
          <t>Jackson Hartley</t>
        </is>
      </c>
      <c r="D31" s="48" t="inlineStr">
        <is>
          <t>Partner 2</t>
        </is>
      </c>
      <c r="E31" s="44" t="inlineStr">
        <is>
          <t>Childhood Friend</t>
        </is>
      </c>
      <c r="F31" s="44" t="inlineStr">
        <is>
          <t>jackson.hartley@example.com</t>
        </is>
      </c>
      <c r="G31" s="44" t="inlineStr">
        <is>
          <t>(225) 555-1025</t>
        </is>
      </c>
      <c r="H31" s="48" t="inlineStr">
        <is>
          <t>Invitation Sent</t>
        </is>
      </c>
      <c r="I31" s="48" t="inlineStr">
        <is>
          <t>Attending</t>
        </is>
      </c>
      <c r="J31" s="48" t="inlineStr">
        <is>
          <t>No</t>
        </is>
      </c>
      <c r="K31" s="44" t="inlineStr"/>
      <c r="L31" s="48" t="inlineStr">
        <is>
          <t>Standard</t>
        </is>
      </c>
      <c r="M31" s="44" t="inlineStr">
        <is>
          <t>None</t>
        </is>
      </c>
      <c r="N31" s="48" t="inlineStr">
        <is>
          <t>No</t>
        </is>
      </c>
      <c r="O31" s="48" t="n">
        <v>11</v>
      </c>
      <c r="P31" s="45" t="inlineStr"/>
    </row>
    <row r="32" ht="20" customHeight="1">
      <c r="B32" s="44" t="inlineStr">
        <is>
          <t>Jacob Osei</t>
        </is>
      </c>
      <c r="C32" s="44" t="inlineStr">
        <is>
          <t>Jacob Osei</t>
        </is>
      </c>
      <c r="D32" s="48" t="inlineStr">
        <is>
          <t>Both</t>
        </is>
      </c>
      <c r="E32" s="44" t="inlineStr">
        <is>
          <t>Neighbor</t>
        </is>
      </c>
      <c r="F32" s="44" t="inlineStr">
        <is>
          <t>jacob.osei@example.com</t>
        </is>
      </c>
      <c r="G32" s="44" t="inlineStr">
        <is>
          <t>(226) 555-1026</t>
        </is>
      </c>
      <c r="H32" s="48" t="inlineStr">
        <is>
          <t>Invitation Sent</t>
        </is>
      </c>
      <c r="I32" s="48" t="inlineStr">
        <is>
          <t>Declined</t>
        </is>
      </c>
      <c r="J32" s="48" t="inlineStr">
        <is>
          <t>No</t>
        </is>
      </c>
      <c r="K32" s="44" t="inlineStr"/>
      <c r="L32" s="48" t="inlineStr"/>
      <c r="M32" s="44" t="inlineStr">
        <is>
          <t>None</t>
        </is>
      </c>
      <c r="N32" s="48" t="inlineStr">
        <is>
          <t>No</t>
        </is>
      </c>
      <c r="O32" s="48" t="inlineStr"/>
      <c r="P32" s="45" t="inlineStr"/>
    </row>
    <row r="33" ht="20" customHeight="1">
      <c r="B33" s="44" t="inlineStr">
        <is>
          <t>James Mitchell</t>
        </is>
      </c>
      <c r="C33" s="44" t="inlineStr">
        <is>
          <t>James Mitchell</t>
        </is>
      </c>
      <c r="D33" s="48" t="inlineStr">
        <is>
          <t>Partner 1</t>
        </is>
      </c>
      <c r="E33" s="44" t="inlineStr">
        <is>
          <t>Family Friend</t>
        </is>
      </c>
      <c r="F33" s="44" t="inlineStr">
        <is>
          <t>james.mitchell@example.com</t>
        </is>
      </c>
      <c r="G33" s="44" t="inlineStr">
        <is>
          <t>(227) 555-1027</t>
        </is>
      </c>
      <c r="H33" s="48" t="inlineStr">
        <is>
          <t>Invitation Sent</t>
        </is>
      </c>
      <c r="I33" s="48" t="inlineStr">
        <is>
          <t>Tentative</t>
        </is>
      </c>
      <c r="J33" s="48" t="inlineStr">
        <is>
          <t>No</t>
        </is>
      </c>
      <c r="K33" s="44" t="inlineStr"/>
      <c r="L33" s="48" t="inlineStr"/>
      <c r="M33" s="44" t="inlineStr">
        <is>
          <t>None</t>
        </is>
      </c>
      <c r="N33" s="48" t="inlineStr">
        <is>
          <t>Yes</t>
        </is>
      </c>
      <c r="O33" s="48" t="inlineStr"/>
      <c r="P33" s="45" t="inlineStr"/>
    </row>
    <row r="34" ht="20" customHeight="1">
      <c r="B34" s="44" t="inlineStr">
        <is>
          <t>Benjamin Barrett</t>
        </is>
      </c>
      <c r="C34" s="44" t="inlineStr">
        <is>
          <t>Barrett Family</t>
        </is>
      </c>
      <c r="D34" s="48" t="inlineStr">
        <is>
          <t>Partner 2</t>
        </is>
      </c>
      <c r="E34" s="44" t="inlineStr">
        <is>
          <t>Immediate Family</t>
        </is>
      </c>
      <c r="F34" s="44" t="inlineStr">
        <is>
          <t>benjamin.barrett@example.com</t>
        </is>
      </c>
      <c r="G34" s="44" t="inlineStr">
        <is>
          <t>(228) 555-1028</t>
        </is>
      </c>
      <c r="H34" s="48" t="inlineStr">
        <is>
          <t>Invitation Sent</t>
        </is>
      </c>
      <c r="I34" s="48" t="inlineStr">
        <is>
          <t>Attending</t>
        </is>
      </c>
      <c r="J34" s="48" t="inlineStr">
        <is>
          <t>Yes</t>
        </is>
      </c>
      <c r="K34" s="44" t="inlineStr">
        <is>
          <t>Evelyn Whitfield</t>
        </is>
      </c>
      <c r="L34" s="48" t="inlineStr">
        <is>
          <t>Gluten-Free</t>
        </is>
      </c>
      <c r="M34" s="44" t="inlineStr">
        <is>
          <t>Gluten-Free</t>
        </is>
      </c>
      <c r="N34" s="48" t="inlineStr">
        <is>
          <t>No</t>
        </is>
      </c>
      <c r="O34" s="48" t="n">
        <v>14</v>
      </c>
      <c r="P34" s="45" t="inlineStr"/>
    </row>
    <row r="35" ht="20" customHeight="1">
      <c r="B35" s="44" t="inlineStr">
        <is>
          <t>Aurora Carter</t>
        </is>
      </c>
      <c r="C35" s="44" t="inlineStr">
        <is>
          <t>Carter Family</t>
        </is>
      </c>
      <c r="D35" s="48" t="inlineStr">
        <is>
          <t>Both</t>
        </is>
      </c>
      <c r="E35" s="44" t="inlineStr">
        <is>
          <t>Extended Family</t>
        </is>
      </c>
      <c r="F35" s="44" t="inlineStr">
        <is>
          <t>aurora.carter@example.com</t>
        </is>
      </c>
      <c r="G35" s="44" t="inlineStr">
        <is>
          <t>(229) 555-1029</t>
        </is>
      </c>
      <c r="H35" s="48" t="inlineStr">
        <is>
          <t>Invitation Sent</t>
        </is>
      </c>
      <c r="I35" s="48" t="inlineStr">
        <is>
          <t>Attending</t>
        </is>
      </c>
      <c r="J35" s="48" t="inlineStr">
        <is>
          <t>No</t>
        </is>
      </c>
      <c r="K35" s="44" t="inlineStr"/>
      <c r="L35" s="48" t="inlineStr">
        <is>
          <t>Kids Meal</t>
        </is>
      </c>
      <c r="M35" s="44" t="inlineStr">
        <is>
          <t>Kids Meal</t>
        </is>
      </c>
      <c r="N35" s="48" t="inlineStr">
        <is>
          <t>No</t>
        </is>
      </c>
      <c r="O35" s="48" t="n">
        <v>15</v>
      </c>
      <c r="P35" s="45" t="inlineStr"/>
    </row>
    <row r="36" ht="20" customHeight="1">
      <c r="B36" s="44" t="inlineStr">
        <is>
          <t>Bella Whitaker</t>
        </is>
      </c>
      <c r="C36" s="44" t="inlineStr">
        <is>
          <t>Bella Whitaker</t>
        </is>
      </c>
      <c r="D36" s="48" t="inlineStr">
        <is>
          <t>Partner 1</t>
        </is>
      </c>
      <c r="E36" s="44" t="inlineStr">
        <is>
          <t>College Friend</t>
        </is>
      </c>
      <c r="F36" s="44" t="inlineStr">
        <is>
          <t>bella.whitaker@example.com</t>
        </is>
      </c>
      <c r="G36" s="44" t="inlineStr">
        <is>
          <t>(230) 555-1030</t>
        </is>
      </c>
      <c r="H36" s="48" t="inlineStr">
        <is>
          <t>Invitation Sent</t>
        </is>
      </c>
      <c r="I36" s="48" t="inlineStr">
        <is>
          <t>Attending</t>
        </is>
      </c>
      <c r="J36" s="48" t="inlineStr">
        <is>
          <t>No</t>
        </is>
      </c>
      <c r="K36" s="44" t="inlineStr"/>
      <c r="L36" s="48" t="inlineStr">
        <is>
          <t>Standard</t>
        </is>
      </c>
      <c r="M36" s="44" t="inlineStr">
        <is>
          <t>None</t>
        </is>
      </c>
      <c r="N36" s="48" t="inlineStr">
        <is>
          <t>No</t>
        </is>
      </c>
      <c r="O36" s="48" t="n">
        <v>1</v>
      </c>
      <c r="P36" s="45" t="inlineStr"/>
    </row>
    <row r="37" ht="20" customHeight="1">
      <c r="B37" s="44" t="inlineStr">
        <is>
          <t>Levi Kowalski</t>
        </is>
      </c>
      <c r="C37" s="44" t="inlineStr">
        <is>
          <t>Levi Kowalski</t>
        </is>
      </c>
      <c r="D37" s="48" t="inlineStr">
        <is>
          <t>Partner 2</t>
        </is>
      </c>
      <c r="E37" s="44" t="inlineStr">
        <is>
          <t>Work Colleague</t>
        </is>
      </c>
      <c r="F37" s="44" t="inlineStr">
        <is>
          <t>levi.kowalski@example.com</t>
        </is>
      </c>
      <c r="G37" s="44" t="inlineStr">
        <is>
          <t>(231) 555-1031</t>
        </is>
      </c>
      <c r="H37" s="48" t="inlineStr">
        <is>
          <t>Invitation Sent</t>
        </is>
      </c>
      <c r="I37" s="48" t="inlineStr">
        <is>
          <t>Pending</t>
        </is>
      </c>
      <c r="J37" s="48" t="inlineStr">
        <is>
          <t>No</t>
        </is>
      </c>
      <c r="K37" s="44" t="inlineStr"/>
      <c r="L37" s="48" t="inlineStr"/>
      <c r="M37" s="44" t="inlineStr">
        <is>
          <t>None</t>
        </is>
      </c>
      <c r="N37" s="48" t="inlineStr">
        <is>
          <t>No</t>
        </is>
      </c>
      <c r="O37" s="48" t="inlineStr"/>
      <c r="P37" s="45" t="inlineStr"/>
    </row>
    <row r="38" ht="20" customHeight="1">
      <c r="B38" s="44" t="inlineStr">
        <is>
          <t>Owen Patel</t>
        </is>
      </c>
      <c r="C38" s="44" t="inlineStr">
        <is>
          <t>Owen Patel</t>
        </is>
      </c>
      <c r="D38" s="48" t="inlineStr">
        <is>
          <t>Both</t>
        </is>
      </c>
      <c r="E38" s="44" t="inlineStr">
        <is>
          <t>Childhood Friend</t>
        </is>
      </c>
      <c r="F38" s="44" t="inlineStr">
        <is>
          <t>owen.patel@example.com</t>
        </is>
      </c>
      <c r="G38" s="44" t="inlineStr">
        <is>
          <t>(232) 555-1032</t>
        </is>
      </c>
      <c r="H38" s="48" t="inlineStr">
        <is>
          <t>Invitation Sent</t>
        </is>
      </c>
      <c r="I38" s="48" t="inlineStr">
        <is>
          <t>Attending</t>
        </is>
      </c>
      <c r="J38" s="48" t="inlineStr">
        <is>
          <t>Yes</t>
        </is>
      </c>
      <c r="K38" s="44" t="inlineStr">
        <is>
          <t>Isabella Moreau</t>
        </is>
      </c>
      <c r="L38" s="48" t="inlineStr">
        <is>
          <t>Vegan</t>
        </is>
      </c>
      <c r="M38" s="44" t="inlineStr">
        <is>
          <t>Vegan</t>
        </is>
      </c>
      <c r="N38" s="48" t="inlineStr">
        <is>
          <t>No</t>
        </is>
      </c>
      <c r="O38" s="48" t="n">
        <v>3</v>
      </c>
      <c r="P38" s="45" t="inlineStr"/>
    </row>
    <row r="39" ht="20" customHeight="1">
      <c r="B39" s="44" t="inlineStr">
        <is>
          <t>Audrey Foster</t>
        </is>
      </c>
      <c r="C39" s="44" t="inlineStr">
        <is>
          <t>Audrey Foster</t>
        </is>
      </c>
      <c r="D39" s="48" t="inlineStr">
        <is>
          <t>Partner 1</t>
        </is>
      </c>
      <c r="E39" s="44" t="inlineStr">
        <is>
          <t>Neighbor</t>
        </is>
      </c>
      <c r="F39" s="44" t="inlineStr">
        <is>
          <t>audrey.foster@example.com</t>
        </is>
      </c>
      <c r="G39" s="44" t="inlineStr">
        <is>
          <t>(233) 555-1033</t>
        </is>
      </c>
      <c r="H39" s="48" t="inlineStr">
        <is>
          <t>Save-the-Date Sent</t>
        </is>
      </c>
      <c r="I39" s="48" t="inlineStr">
        <is>
          <t>Declined</t>
        </is>
      </c>
      <c r="J39" s="48" t="inlineStr">
        <is>
          <t>No</t>
        </is>
      </c>
      <c r="K39" s="44" t="inlineStr"/>
      <c r="L39" s="48" t="inlineStr"/>
      <c r="M39" s="44" t="inlineStr">
        <is>
          <t>None</t>
        </is>
      </c>
      <c r="N39" s="48" t="inlineStr">
        <is>
          <t>No</t>
        </is>
      </c>
      <c r="O39" s="48" t="inlineStr"/>
      <c r="P39" s="45" t="inlineStr"/>
    </row>
    <row r="40" ht="20" customHeight="1">
      <c r="B40" s="44" t="inlineStr">
        <is>
          <t>Avery Wallace</t>
        </is>
      </c>
      <c r="C40" s="44" t="inlineStr">
        <is>
          <t>Avery Wallace</t>
        </is>
      </c>
      <c r="D40" s="48" t="inlineStr">
        <is>
          <t>Partner 2</t>
        </is>
      </c>
      <c r="E40" s="44" t="inlineStr">
        <is>
          <t>Family Friend</t>
        </is>
      </c>
      <c r="F40" s="44" t="inlineStr">
        <is>
          <t>avery.wallace@example.com</t>
        </is>
      </c>
      <c r="G40" s="44" t="inlineStr">
        <is>
          <t>(234) 555-1034</t>
        </is>
      </c>
      <c r="H40" s="48" t="inlineStr">
        <is>
          <t>Invitation Sent</t>
        </is>
      </c>
      <c r="I40" s="48" t="inlineStr">
        <is>
          <t>Tentative</t>
        </is>
      </c>
      <c r="J40" s="48" t="inlineStr">
        <is>
          <t>No</t>
        </is>
      </c>
      <c r="K40" s="44" t="inlineStr"/>
      <c r="L40" s="48" t="inlineStr"/>
      <c r="M40" s="44" t="inlineStr">
        <is>
          <t>None</t>
        </is>
      </c>
      <c r="N40" s="48" t="inlineStr">
        <is>
          <t>No</t>
        </is>
      </c>
      <c r="O40" s="48" t="inlineStr"/>
      <c r="P40" s="45" t="inlineStr"/>
    </row>
    <row r="41" ht="20" customHeight="1">
      <c r="B41" s="44" t="inlineStr">
        <is>
          <t>Lucy Bennett</t>
        </is>
      </c>
      <c r="C41" s="44" t="inlineStr">
        <is>
          <t>Bennett Family</t>
        </is>
      </c>
      <c r="D41" s="48" t="inlineStr">
        <is>
          <t>Both</t>
        </is>
      </c>
      <c r="E41" s="44" t="inlineStr">
        <is>
          <t>Immediate Family</t>
        </is>
      </c>
      <c r="F41" s="44" t="inlineStr">
        <is>
          <t>lucy.bennett@example.com</t>
        </is>
      </c>
      <c r="G41" s="44" t="inlineStr">
        <is>
          <t>(235) 555-1035</t>
        </is>
      </c>
      <c r="H41" s="48" t="inlineStr">
        <is>
          <t>Invitation Sent</t>
        </is>
      </c>
      <c r="I41" s="48" t="inlineStr">
        <is>
          <t>Attending</t>
        </is>
      </c>
      <c r="J41" s="48" t="inlineStr">
        <is>
          <t>No</t>
        </is>
      </c>
      <c r="K41" s="44" t="inlineStr"/>
      <c r="L41" s="48" t="inlineStr">
        <is>
          <t>Standard</t>
        </is>
      </c>
      <c r="M41" s="44" t="inlineStr">
        <is>
          <t>None</t>
        </is>
      </c>
      <c r="N41" s="48" t="inlineStr">
        <is>
          <t>No</t>
        </is>
      </c>
      <c r="O41" s="48" t="n">
        <v>6</v>
      </c>
      <c r="P41" s="45" t="inlineStr"/>
    </row>
    <row r="42" ht="20" customHeight="1">
      <c r="B42" s="44" t="inlineStr">
        <is>
          <t>Claire Nakamura</t>
        </is>
      </c>
      <c r="C42" s="44" t="inlineStr">
        <is>
          <t>Nakamura Family</t>
        </is>
      </c>
      <c r="D42" s="48" t="inlineStr">
        <is>
          <t>Partner 1</t>
        </is>
      </c>
      <c r="E42" s="44" t="inlineStr">
        <is>
          <t>Extended Family</t>
        </is>
      </c>
      <c r="F42" s="44" t="inlineStr">
        <is>
          <t>claire.nakamura@example.com</t>
        </is>
      </c>
      <c r="G42" s="44" t="inlineStr">
        <is>
          <t>(236) 555-1036</t>
        </is>
      </c>
      <c r="H42" s="48" t="inlineStr">
        <is>
          <t>Invitation Sent</t>
        </is>
      </c>
      <c r="I42" s="48" t="inlineStr">
        <is>
          <t>Attending</t>
        </is>
      </c>
      <c r="J42" s="48" t="inlineStr">
        <is>
          <t>Yes</t>
        </is>
      </c>
      <c r="K42" s="44" t="inlineStr">
        <is>
          <t>Audrey Wallace</t>
        </is>
      </c>
      <c r="L42" s="48" t="inlineStr">
        <is>
          <t>Vegetarian</t>
        </is>
      </c>
      <c r="M42" s="44" t="inlineStr">
        <is>
          <t>Vegetarian</t>
        </is>
      </c>
      <c r="N42" s="48" t="inlineStr">
        <is>
          <t>Yes</t>
        </is>
      </c>
      <c r="O42" s="48" t="n">
        <v>7</v>
      </c>
      <c r="P42" s="45" t="inlineStr"/>
    </row>
    <row r="43" ht="20" customHeight="1">
      <c r="B43" s="44" t="inlineStr">
        <is>
          <t>Ava Hartley</t>
        </is>
      </c>
      <c r="C43" s="44" t="inlineStr">
        <is>
          <t>Ava Hartley</t>
        </is>
      </c>
      <c r="D43" s="48" t="inlineStr">
        <is>
          <t>Partner 2</t>
        </is>
      </c>
      <c r="E43" s="44" t="inlineStr">
        <is>
          <t>College Friend</t>
        </is>
      </c>
      <c r="F43" s="44" t="inlineStr">
        <is>
          <t>ava.hartley@example.com</t>
        </is>
      </c>
      <c r="G43" s="44" t="inlineStr">
        <is>
          <t>(237) 555-1037</t>
        </is>
      </c>
      <c r="H43" s="48" t="inlineStr">
        <is>
          <t>Invitation Sent</t>
        </is>
      </c>
      <c r="I43" s="48" t="inlineStr">
        <is>
          <t>Attending</t>
        </is>
      </c>
      <c r="J43" s="48" t="inlineStr">
        <is>
          <t>No</t>
        </is>
      </c>
      <c r="K43" s="44" t="inlineStr"/>
      <c r="L43" s="48" t="inlineStr">
        <is>
          <t>Vegan</t>
        </is>
      </c>
      <c r="M43" s="44" t="inlineStr">
        <is>
          <t>Vegan</t>
        </is>
      </c>
      <c r="N43" s="48" t="inlineStr">
        <is>
          <t>No</t>
        </is>
      </c>
      <c r="O43" s="48" t="n">
        <v>8</v>
      </c>
      <c r="P43" s="45" t="inlineStr"/>
    </row>
    <row r="44" ht="20" customHeight="1">
      <c r="B44" s="44" t="inlineStr">
        <is>
          <t>Daniel Osei</t>
        </is>
      </c>
      <c r="C44" s="44" t="inlineStr">
        <is>
          <t>Daniel Osei</t>
        </is>
      </c>
      <c r="D44" s="48" t="inlineStr">
        <is>
          <t>Both</t>
        </is>
      </c>
      <c r="E44" s="44" t="inlineStr">
        <is>
          <t>Work Colleague</t>
        </is>
      </c>
      <c r="F44" s="44" t="inlineStr">
        <is>
          <t>daniel.osei@example.com</t>
        </is>
      </c>
      <c r="G44" s="44" t="inlineStr">
        <is>
          <t>(238) 555-1038</t>
        </is>
      </c>
      <c r="H44" s="48" t="inlineStr">
        <is>
          <t>Invitation Sent</t>
        </is>
      </c>
      <c r="I44" s="48" t="inlineStr">
        <is>
          <t>Pending</t>
        </is>
      </c>
      <c r="J44" s="48" t="inlineStr">
        <is>
          <t>No</t>
        </is>
      </c>
      <c r="K44" s="44" t="inlineStr"/>
      <c r="L44" s="48" t="inlineStr"/>
      <c r="M44" s="44" t="inlineStr">
        <is>
          <t>None</t>
        </is>
      </c>
      <c r="N44" s="48" t="inlineStr">
        <is>
          <t>No</t>
        </is>
      </c>
      <c r="O44" s="48" t="inlineStr"/>
      <c r="P44" s="45" t="inlineStr"/>
    </row>
    <row r="45" ht="20" customHeight="1">
      <c r="B45" s="44" t="inlineStr">
        <is>
          <t>David Mitchell</t>
        </is>
      </c>
      <c r="C45" s="44" t="inlineStr">
        <is>
          <t>David Mitchell</t>
        </is>
      </c>
      <c r="D45" s="48" t="inlineStr">
        <is>
          <t>Partner 1</t>
        </is>
      </c>
      <c r="E45" s="44" t="inlineStr">
        <is>
          <t>Childhood Friend</t>
        </is>
      </c>
      <c r="F45" s="44" t="inlineStr">
        <is>
          <t>david.mitchell@example.com</t>
        </is>
      </c>
      <c r="G45" s="44" t="inlineStr">
        <is>
          <t>(239) 555-1039</t>
        </is>
      </c>
      <c r="H45" s="48" t="inlineStr">
        <is>
          <t>Invitation Sent</t>
        </is>
      </c>
      <c r="I45" s="48" t="inlineStr">
        <is>
          <t>Attending</t>
        </is>
      </c>
      <c r="J45" s="48" t="inlineStr">
        <is>
          <t>No</t>
        </is>
      </c>
      <c r="K45" s="44" t="inlineStr"/>
      <c r="L45" s="48" t="inlineStr">
        <is>
          <t>Kids Meal</t>
        </is>
      </c>
      <c r="M45" s="44" t="inlineStr">
        <is>
          <t>Kids Meal</t>
        </is>
      </c>
      <c r="N45" s="48" t="inlineStr">
        <is>
          <t>No</t>
        </is>
      </c>
      <c r="O45" s="48" t="n">
        <v>10</v>
      </c>
      <c r="P45" s="45" t="inlineStr"/>
    </row>
    <row r="46" ht="20" customHeight="1">
      <c r="B46" s="44" t="inlineStr">
        <is>
          <t>Charlotte Barrett</t>
        </is>
      </c>
      <c r="C46" s="44" t="inlineStr">
        <is>
          <t>Charlotte Barrett</t>
        </is>
      </c>
      <c r="D46" s="48" t="inlineStr">
        <is>
          <t>Partner 2</t>
        </is>
      </c>
      <c r="E46" s="44" t="inlineStr">
        <is>
          <t>Neighbor</t>
        </is>
      </c>
      <c r="F46" s="44" t="inlineStr">
        <is>
          <t>charlotte.barrett@example.com</t>
        </is>
      </c>
      <c r="G46" s="44" t="inlineStr">
        <is>
          <t>(240) 555-1040</t>
        </is>
      </c>
      <c r="H46" s="48" t="inlineStr">
        <is>
          <t>Invitation Sent</t>
        </is>
      </c>
      <c r="I46" s="48" t="inlineStr">
        <is>
          <t>Declined</t>
        </is>
      </c>
      <c r="J46" s="48" t="inlineStr">
        <is>
          <t>Yes</t>
        </is>
      </c>
      <c r="K46" s="44" t="inlineStr">
        <is>
          <t>Elizabeth Vance</t>
        </is>
      </c>
      <c r="L46" s="48" t="inlineStr"/>
      <c r="M46" s="44" t="inlineStr">
        <is>
          <t>None</t>
        </is>
      </c>
      <c r="N46" s="48" t="inlineStr">
        <is>
          <t>No</t>
        </is>
      </c>
      <c r="O46" s="48" t="inlineStr"/>
      <c r="P46" s="45" t="inlineStr"/>
    </row>
    <row r="47" ht="20" customHeight="1">
      <c r="B47" s="44" t="inlineStr">
        <is>
          <t>Matthew Carter</t>
        </is>
      </c>
      <c r="C47" s="44" t="inlineStr">
        <is>
          <t>Matthew Carter</t>
        </is>
      </c>
      <c r="D47" s="48" t="inlineStr">
        <is>
          <t>Both</t>
        </is>
      </c>
      <c r="E47" s="44" t="inlineStr">
        <is>
          <t>Family Friend</t>
        </is>
      </c>
      <c r="F47" s="44" t="inlineStr">
        <is>
          <t>matthew.carter@example.com</t>
        </is>
      </c>
      <c r="G47" s="44" t="inlineStr">
        <is>
          <t>(241) 555-1041</t>
        </is>
      </c>
      <c r="H47" s="48" t="inlineStr">
        <is>
          <t>Invitation Sent</t>
        </is>
      </c>
      <c r="I47" s="48" t="inlineStr">
        <is>
          <t>Tentative</t>
        </is>
      </c>
      <c r="J47" s="48" t="inlineStr">
        <is>
          <t>No</t>
        </is>
      </c>
      <c r="K47" s="44" t="inlineStr"/>
      <c r="L47" s="48" t="inlineStr"/>
      <c r="M47" s="44" t="inlineStr">
        <is>
          <t>None</t>
        </is>
      </c>
      <c r="N47" s="48" t="inlineStr">
        <is>
          <t>No</t>
        </is>
      </c>
      <c r="O47" s="48" t="inlineStr"/>
      <c r="P47" s="45" t="inlineStr"/>
    </row>
    <row r="48" ht="20" customHeight="1">
      <c r="B48" s="44" t="inlineStr">
        <is>
          <t>Amelia Whitaker</t>
        </is>
      </c>
      <c r="C48" s="44" t="inlineStr">
        <is>
          <t>Whitaker Family</t>
        </is>
      </c>
      <c r="D48" s="48" t="inlineStr">
        <is>
          <t>Partner 1</t>
        </is>
      </c>
      <c r="E48" s="44" t="inlineStr">
        <is>
          <t>Immediate Family</t>
        </is>
      </c>
      <c r="F48" s="44" t="inlineStr">
        <is>
          <t>amelia.whitaker@example.com</t>
        </is>
      </c>
      <c r="G48" s="44" t="inlineStr">
        <is>
          <t>(242) 555-1042</t>
        </is>
      </c>
      <c r="H48" s="48" t="inlineStr">
        <is>
          <t>Invitation Sent</t>
        </is>
      </c>
      <c r="I48" s="48" t="inlineStr">
        <is>
          <t>Attending</t>
        </is>
      </c>
      <c r="J48" s="48" t="inlineStr">
        <is>
          <t>No</t>
        </is>
      </c>
      <c r="K48" s="44" t="inlineStr"/>
      <c r="L48" s="48" t="inlineStr">
        <is>
          <t>Vegan</t>
        </is>
      </c>
      <c r="M48" s="44" t="inlineStr">
        <is>
          <t>Vegan</t>
        </is>
      </c>
      <c r="N48" s="48" t="inlineStr">
        <is>
          <t>No</t>
        </is>
      </c>
      <c r="O48" s="48" t="n">
        <v>13</v>
      </c>
      <c r="P48" s="45" t="inlineStr"/>
    </row>
    <row r="49" ht="20" customHeight="1">
      <c r="B49" s="44" t="inlineStr">
        <is>
          <t>Evelyn Kowalski</t>
        </is>
      </c>
      <c r="C49" s="44" t="inlineStr">
        <is>
          <t>Kowalski Family</t>
        </is>
      </c>
      <c r="D49" s="48" t="inlineStr">
        <is>
          <t>Partner 2</t>
        </is>
      </c>
      <c r="E49" s="44" t="inlineStr">
        <is>
          <t>Extended Family</t>
        </is>
      </c>
      <c r="F49" s="44" t="inlineStr">
        <is>
          <t>evelyn.kowalski@example.com</t>
        </is>
      </c>
      <c r="G49" s="44" t="inlineStr">
        <is>
          <t>(243) 555-1043</t>
        </is>
      </c>
      <c r="H49" s="48" t="inlineStr">
        <is>
          <t>Invitation Sent</t>
        </is>
      </c>
      <c r="I49" s="48" t="inlineStr">
        <is>
          <t>Attending</t>
        </is>
      </c>
      <c r="J49" s="48" t="inlineStr">
        <is>
          <t>No</t>
        </is>
      </c>
      <c r="K49" s="44" t="inlineStr"/>
      <c r="L49" s="48" t="inlineStr">
        <is>
          <t>Gluten-Free</t>
        </is>
      </c>
      <c r="M49" s="44" t="inlineStr">
        <is>
          <t>Gluten-Free</t>
        </is>
      </c>
      <c r="N49" s="48" t="inlineStr">
        <is>
          <t>No</t>
        </is>
      </c>
      <c r="O49" s="48" t="n">
        <v>14</v>
      </c>
      <c r="P49" s="45" t="inlineStr"/>
    </row>
    <row r="50" ht="20" customHeight="1">
      <c r="B50" s="44" t="inlineStr">
        <is>
          <t>Ella Patel</t>
        </is>
      </c>
      <c r="C50" s="44" t="inlineStr">
        <is>
          <t>Ella Patel</t>
        </is>
      </c>
      <c r="D50" s="48" t="inlineStr">
        <is>
          <t>Both</t>
        </is>
      </c>
      <c r="E50" s="44" t="inlineStr">
        <is>
          <t>College Friend</t>
        </is>
      </c>
      <c r="F50" s="44" t="inlineStr">
        <is>
          <t>ella.patel@example.com</t>
        </is>
      </c>
      <c r="G50" s="44" t="inlineStr">
        <is>
          <t>(244) 555-1044</t>
        </is>
      </c>
      <c r="H50" s="48" t="inlineStr">
        <is>
          <t>Save-the-Date Sent</t>
        </is>
      </c>
      <c r="I50" s="48" t="inlineStr">
        <is>
          <t>Attending</t>
        </is>
      </c>
      <c r="J50" s="48" t="inlineStr">
        <is>
          <t>Yes</t>
        </is>
      </c>
      <c r="K50" s="44" t="inlineStr">
        <is>
          <t>Skylar Sinclair</t>
        </is>
      </c>
      <c r="L50" s="48" t="inlineStr">
        <is>
          <t>Kids Meal</t>
        </is>
      </c>
      <c r="M50" s="44" t="inlineStr">
        <is>
          <t>Kids Meal</t>
        </is>
      </c>
      <c r="N50" s="48" t="inlineStr">
        <is>
          <t>No</t>
        </is>
      </c>
      <c r="O50" s="48" t="n">
        <v>15</v>
      </c>
      <c r="P50" s="45" t="inlineStr"/>
    </row>
    <row r="51" ht="20" customHeight="1">
      <c r="B51" s="44" t="inlineStr">
        <is>
          <t>Scarlett Foster</t>
        </is>
      </c>
      <c r="C51" s="44" t="inlineStr">
        <is>
          <t>Scarlett Foster</t>
        </is>
      </c>
      <c r="D51" s="48" t="inlineStr">
        <is>
          <t>Partner 1</t>
        </is>
      </c>
      <c r="E51" s="44" t="inlineStr">
        <is>
          <t>Work Colleague</t>
        </is>
      </c>
      <c r="F51" s="44" t="inlineStr">
        <is>
          <t>scarlett.foster@example.com</t>
        </is>
      </c>
      <c r="G51" s="44" t="inlineStr">
        <is>
          <t>(245) 555-1045</t>
        </is>
      </c>
      <c r="H51" s="48" t="inlineStr">
        <is>
          <t>Invitation Sent</t>
        </is>
      </c>
      <c r="I51" s="48" t="inlineStr">
        <is>
          <t>Pending</t>
        </is>
      </c>
      <c r="J51" s="48" t="inlineStr">
        <is>
          <t>No</t>
        </is>
      </c>
      <c r="K51" s="44" t="inlineStr"/>
      <c r="L51" s="48" t="inlineStr"/>
      <c r="M51" s="44" t="inlineStr">
        <is>
          <t>None</t>
        </is>
      </c>
      <c r="N51" s="48" t="inlineStr">
        <is>
          <t>Yes</t>
        </is>
      </c>
      <c r="O51" s="48" t="inlineStr"/>
      <c r="P51" s="45" t="inlineStr"/>
    </row>
    <row r="52" ht="20" customHeight="1">
      <c r="B52" s="44" t="inlineStr">
        <is>
          <t>Chloe Wallace</t>
        </is>
      </c>
      <c r="C52" s="44" t="inlineStr">
        <is>
          <t>Chloe Wallace</t>
        </is>
      </c>
      <c r="D52" s="48" t="inlineStr">
        <is>
          <t>Partner 2</t>
        </is>
      </c>
      <c r="E52" s="44" t="inlineStr">
        <is>
          <t>Childhood Friend</t>
        </is>
      </c>
      <c r="F52" s="44" t="inlineStr">
        <is>
          <t>chloe.wallace@example.com</t>
        </is>
      </c>
      <c r="G52" s="44" t="inlineStr">
        <is>
          <t>(246) 555-1046</t>
        </is>
      </c>
      <c r="H52" s="48" t="inlineStr">
        <is>
          <t>Invitation Sent</t>
        </is>
      </c>
      <c r="I52" s="48" t="inlineStr">
        <is>
          <t>Attending</t>
        </is>
      </c>
      <c r="J52" s="48" t="inlineStr">
        <is>
          <t>No</t>
        </is>
      </c>
      <c r="K52" s="44" t="inlineStr"/>
      <c r="L52" s="48" t="inlineStr">
        <is>
          <t>Vegetarian</t>
        </is>
      </c>
      <c r="M52" s="44" t="inlineStr">
        <is>
          <t>Vegetarian</t>
        </is>
      </c>
      <c r="N52" s="48" t="inlineStr">
        <is>
          <t>No</t>
        </is>
      </c>
      <c r="O52" s="48" t="n">
        <v>2</v>
      </c>
      <c r="P52" s="45" t="inlineStr"/>
    </row>
    <row r="53" ht="20" customHeight="1">
      <c r="B53" s="44" t="inlineStr">
        <is>
          <t>Emma Bennett</t>
        </is>
      </c>
      <c r="C53" s="44" t="inlineStr">
        <is>
          <t>Emma Bennett</t>
        </is>
      </c>
      <c r="D53" s="48" t="inlineStr">
        <is>
          <t>Both</t>
        </is>
      </c>
      <c r="E53" s="44" t="inlineStr">
        <is>
          <t>Neighbor</t>
        </is>
      </c>
      <c r="F53" s="44" t="inlineStr">
        <is>
          <t>emma.bennett@example.com</t>
        </is>
      </c>
      <c r="G53" s="44" t="inlineStr">
        <is>
          <t>(247) 555-1047</t>
        </is>
      </c>
      <c r="H53" s="48" t="inlineStr">
        <is>
          <t>Invitation Sent</t>
        </is>
      </c>
      <c r="I53" s="48" t="inlineStr">
        <is>
          <t>Declined</t>
        </is>
      </c>
      <c r="J53" s="48" t="inlineStr">
        <is>
          <t>No</t>
        </is>
      </c>
      <c r="K53" s="44" t="inlineStr"/>
      <c r="L53" s="48" t="inlineStr"/>
      <c r="M53" s="44" t="inlineStr">
        <is>
          <t>None</t>
        </is>
      </c>
      <c r="N53" s="48" t="inlineStr">
        <is>
          <t>No</t>
        </is>
      </c>
      <c r="O53" s="48" t="inlineStr"/>
      <c r="P53" s="45" t="inlineStr"/>
    </row>
    <row r="54" ht="20" customHeight="1">
      <c r="B54" s="44" t="inlineStr">
        <is>
          <t>Harper Nakamura</t>
        </is>
      </c>
      <c r="C54" s="44" t="inlineStr">
        <is>
          <t>Harper Nakamura</t>
        </is>
      </c>
      <c r="D54" s="48" t="inlineStr">
        <is>
          <t>Partner 1</t>
        </is>
      </c>
      <c r="E54" s="44" t="inlineStr">
        <is>
          <t>Family Friend</t>
        </is>
      </c>
      <c r="F54" s="44" t="inlineStr">
        <is>
          <t>harper.nakamura@example.com</t>
        </is>
      </c>
      <c r="G54" s="44" t="inlineStr">
        <is>
          <t>(248) 555-1048</t>
        </is>
      </c>
      <c r="H54" s="48" t="inlineStr">
        <is>
          <t>Invitation Sent</t>
        </is>
      </c>
      <c r="I54" s="48" t="inlineStr">
        <is>
          <t>Tentative</t>
        </is>
      </c>
      <c r="J54" s="48" t="inlineStr">
        <is>
          <t>Yes</t>
        </is>
      </c>
      <c r="K54" s="44" t="inlineStr">
        <is>
          <t>Evelyn Whitaker</t>
        </is>
      </c>
      <c r="L54" s="48" t="inlineStr"/>
      <c r="M54" s="44" t="inlineStr">
        <is>
          <t>None</t>
        </is>
      </c>
      <c r="N54" s="48" t="inlineStr">
        <is>
          <t>No</t>
        </is>
      </c>
      <c r="O54" s="48" t="inlineStr"/>
      <c r="P54" s="45" t="inlineStr"/>
    </row>
    <row r="55" ht="20" customHeight="1">
      <c r="B55" s="44" t="inlineStr">
        <is>
          <t>Nora Hartley</t>
        </is>
      </c>
      <c r="C55" s="44" t="inlineStr">
        <is>
          <t>Hartley Family</t>
        </is>
      </c>
      <c r="D55" s="48" t="inlineStr">
        <is>
          <t>Partner 2</t>
        </is>
      </c>
      <c r="E55" s="44" t="inlineStr">
        <is>
          <t>Immediate Family</t>
        </is>
      </c>
      <c r="F55" s="44" t="inlineStr">
        <is>
          <t>nora.hartley@example.com</t>
        </is>
      </c>
      <c r="G55" s="44" t="inlineStr">
        <is>
          <t>(249) 555-1049</t>
        </is>
      </c>
      <c r="H55" s="48" t="inlineStr">
        <is>
          <t>Invitation Sent</t>
        </is>
      </c>
      <c r="I55" s="48" t="inlineStr">
        <is>
          <t>Attending</t>
        </is>
      </c>
      <c r="J55" s="48" t="inlineStr">
        <is>
          <t>No</t>
        </is>
      </c>
      <c r="K55" s="44" t="inlineStr"/>
      <c r="L55" s="48" t="inlineStr">
        <is>
          <t>Kids Meal</t>
        </is>
      </c>
      <c r="M55" s="44" t="inlineStr">
        <is>
          <t>Kids Meal</t>
        </is>
      </c>
      <c r="N55" s="48" t="inlineStr">
        <is>
          <t>No</t>
        </is>
      </c>
      <c r="O55" s="48" t="n">
        <v>5</v>
      </c>
      <c r="P55" s="45" t="inlineStr"/>
    </row>
    <row r="56" ht="20" customHeight="1">
      <c r="B56" s="44" t="inlineStr">
        <is>
          <t>Alexander Osei</t>
        </is>
      </c>
      <c r="C56" s="44" t="inlineStr">
        <is>
          <t>Osei Family</t>
        </is>
      </c>
      <c r="D56" s="48" t="inlineStr">
        <is>
          <t>Both</t>
        </is>
      </c>
      <c r="E56" s="44" t="inlineStr">
        <is>
          <t>Extended Family</t>
        </is>
      </c>
      <c r="F56" s="44" t="inlineStr">
        <is>
          <t>alexander.osei@example.com</t>
        </is>
      </c>
      <c r="G56" s="44" t="inlineStr">
        <is>
          <t>(250) 555-1050</t>
        </is>
      </c>
      <c r="H56" s="48" t="inlineStr">
        <is>
          <t>Invitation Sent</t>
        </is>
      </c>
      <c r="I56" s="48" t="inlineStr">
        <is>
          <t>Attending</t>
        </is>
      </c>
      <c r="J56" s="48" t="inlineStr">
        <is>
          <t>No</t>
        </is>
      </c>
      <c r="K56" s="44" t="inlineStr"/>
      <c r="L56" s="48" t="inlineStr">
        <is>
          <t>Standard</t>
        </is>
      </c>
      <c r="M56" s="44" t="inlineStr">
        <is>
          <t>None</t>
        </is>
      </c>
      <c r="N56" s="48" t="inlineStr">
        <is>
          <t>No</t>
        </is>
      </c>
      <c r="O56" s="48" t="n">
        <v>6</v>
      </c>
      <c r="P56" s="45" t="inlineStr"/>
    </row>
    <row r="57" ht="20" customHeight="1">
      <c r="B57" s="44" t="inlineStr">
        <is>
          <t>Lucas Mitchell</t>
        </is>
      </c>
      <c r="C57" s="44" t="inlineStr">
        <is>
          <t>Lucas Mitchell</t>
        </is>
      </c>
      <c r="D57" s="48" t="inlineStr">
        <is>
          <t>Partner 1</t>
        </is>
      </c>
      <c r="E57" s="44" t="inlineStr">
        <is>
          <t>College Friend</t>
        </is>
      </c>
      <c r="F57" s="44" t="inlineStr">
        <is>
          <t>lucas.mitchell@example.com</t>
        </is>
      </c>
      <c r="G57" s="44" t="inlineStr">
        <is>
          <t>(251) 555-1051</t>
        </is>
      </c>
      <c r="H57" s="48" t="inlineStr">
        <is>
          <t>Invitation Sent</t>
        </is>
      </c>
      <c r="I57" s="48" t="inlineStr">
        <is>
          <t>Attending</t>
        </is>
      </c>
      <c r="J57" s="48" t="inlineStr">
        <is>
          <t>No</t>
        </is>
      </c>
      <c r="K57" s="44" t="inlineStr"/>
      <c r="L57" s="48" t="inlineStr">
        <is>
          <t>Vegetarian</t>
        </is>
      </c>
      <c r="M57" s="44" t="inlineStr">
        <is>
          <t>Vegetarian</t>
        </is>
      </c>
      <c r="N57" s="48" t="inlineStr">
        <is>
          <t>No</t>
        </is>
      </c>
      <c r="O57" s="48" t="n">
        <v>7</v>
      </c>
      <c r="P57" s="45" t="inlineStr"/>
    </row>
    <row r="58" ht="20" customHeight="1">
      <c r="B58" s="44" t="inlineStr">
        <is>
          <t>Riley Barrett</t>
        </is>
      </c>
      <c r="C58" s="44" t="inlineStr">
        <is>
          <t>Riley Barrett</t>
        </is>
      </c>
      <c r="D58" s="48" t="inlineStr">
        <is>
          <t>Partner 2</t>
        </is>
      </c>
      <c r="E58" s="44" t="inlineStr">
        <is>
          <t>Work Colleague</t>
        </is>
      </c>
      <c r="F58" s="44" t="inlineStr">
        <is>
          <t>riley.barrett@example.com</t>
        </is>
      </c>
      <c r="G58" s="44" t="inlineStr">
        <is>
          <t>(252) 555-1052</t>
        </is>
      </c>
      <c r="H58" s="48" t="inlineStr">
        <is>
          <t>Invitation Sent</t>
        </is>
      </c>
      <c r="I58" s="48" t="inlineStr">
        <is>
          <t>Pending</t>
        </is>
      </c>
      <c r="J58" s="48" t="inlineStr">
        <is>
          <t>Yes</t>
        </is>
      </c>
      <c r="K58" s="44" t="inlineStr">
        <is>
          <t>Isabella Marsh</t>
        </is>
      </c>
      <c r="L58" s="48" t="inlineStr"/>
      <c r="M58" s="44" t="inlineStr">
        <is>
          <t>None</t>
        </is>
      </c>
      <c r="N58" s="48" t="inlineStr">
        <is>
          <t>No</t>
        </is>
      </c>
      <c r="O58" s="48" t="inlineStr"/>
      <c r="P58" s="45" t="inlineStr"/>
    </row>
    <row r="59" ht="20" customHeight="1">
      <c r="B59" s="44" t="inlineStr">
        <is>
          <t>Elizabeth Carter</t>
        </is>
      </c>
      <c r="C59" s="44" t="inlineStr">
        <is>
          <t>Elizabeth Carter</t>
        </is>
      </c>
      <c r="D59" s="48" t="inlineStr">
        <is>
          <t>Both</t>
        </is>
      </c>
      <c r="E59" s="44" t="inlineStr">
        <is>
          <t>Childhood Friend</t>
        </is>
      </c>
      <c r="F59" s="44" t="inlineStr">
        <is>
          <t>elizabeth.carter@example.com</t>
        </is>
      </c>
      <c r="G59" s="44" t="inlineStr">
        <is>
          <t>(253) 555-1053</t>
        </is>
      </c>
      <c r="H59" s="48" t="inlineStr">
        <is>
          <t>Invitation Sent</t>
        </is>
      </c>
      <c r="I59" s="48" t="inlineStr">
        <is>
          <t>Attending</t>
        </is>
      </c>
      <c r="J59" s="48" t="inlineStr">
        <is>
          <t>No</t>
        </is>
      </c>
      <c r="K59" s="44" t="inlineStr"/>
      <c r="L59" s="48" t="inlineStr">
        <is>
          <t>Gluten-Free</t>
        </is>
      </c>
      <c r="M59" s="44" t="inlineStr">
        <is>
          <t>Gluten-Free</t>
        </is>
      </c>
      <c r="N59" s="48" t="inlineStr">
        <is>
          <t>No</t>
        </is>
      </c>
      <c r="O59" s="48" t="n">
        <v>9</v>
      </c>
      <c r="P59" s="45" t="inlineStr"/>
    </row>
    <row r="60" ht="20" customHeight="1">
      <c r="B60" s="44" t="inlineStr">
        <is>
          <t>Mia Whitaker</t>
        </is>
      </c>
      <c r="C60" s="44" t="inlineStr">
        <is>
          <t>Mia Whitaker</t>
        </is>
      </c>
      <c r="D60" s="48" t="inlineStr">
        <is>
          <t>Partner 1</t>
        </is>
      </c>
      <c r="E60" s="44" t="inlineStr">
        <is>
          <t>Neighbor</t>
        </is>
      </c>
      <c r="F60" s="44" t="inlineStr">
        <is>
          <t>mia.whitaker@example.com</t>
        </is>
      </c>
      <c r="G60" s="44" t="inlineStr">
        <is>
          <t>(254) 555-1054</t>
        </is>
      </c>
      <c r="H60" s="48" t="inlineStr">
        <is>
          <t>Invitation Sent</t>
        </is>
      </c>
      <c r="I60" s="48" t="inlineStr">
        <is>
          <t>Declined</t>
        </is>
      </c>
      <c r="J60" s="48" t="inlineStr">
        <is>
          <t>No</t>
        </is>
      </c>
      <c r="K60" s="44" t="inlineStr"/>
      <c r="L60" s="48" t="inlineStr"/>
      <c r="M60" s="44" t="inlineStr">
        <is>
          <t>None</t>
        </is>
      </c>
      <c r="N60" s="48" t="inlineStr">
        <is>
          <t>Yes</t>
        </is>
      </c>
      <c r="O60" s="48" t="inlineStr"/>
      <c r="P60" s="45" t="inlineStr"/>
    </row>
    <row r="61" ht="20" customHeight="1">
      <c r="B61" s="44" t="inlineStr">
        <is>
          <t>Brooklyn Kowalski</t>
        </is>
      </c>
      <c r="C61" s="44" t="inlineStr">
        <is>
          <t>Brooklyn Kowalski</t>
        </is>
      </c>
      <c r="D61" s="48" t="inlineStr">
        <is>
          <t>Partner 2</t>
        </is>
      </c>
      <c r="E61" s="44" t="inlineStr">
        <is>
          <t>Family Friend</t>
        </is>
      </c>
      <c r="F61" s="44" t="inlineStr">
        <is>
          <t>brooklyn.kowalski@example.com</t>
        </is>
      </c>
      <c r="G61" s="44" t="inlineStr">
        <is>
          <t>(255) 555-1055</t>
        </is>
      </c>
      <c r="H61" s="48" t="inlineStr">
        <is>
          <t>Save-the-Date Sent</t>
        </is>
      </c>
      <c r="I61" s="48" t="inlineStr">
        <is>
          <t>Tentative</t>
        </is>
      </c>
      <c r="J61" s="48" t="inlineStr">
        <is>
          <t>No</t>
        </is>
      </c>
      <c r="K61" s="44" t="inlineStr"/>
      <c r="L61" s="48" t="inlineStr"/>
      <c r="M61" s="44" t="inlineStr">
        <is>
          <t>None</t>
        </is>
      </c>
      <c r="N61" s="48" t="inlineStr">
        <is>
          <t>No</t>
        </is>
      </c>
      <c r="O61" s="48" t="inlineStr"/>
      <c r="P61" s="45" t="inlineStr"/>
    </row>
    <row r="62" ht="20" customHeight="1">
      <c r="B62" s="44" t="inlineStr">
        <is>
          <t>Michael Patel</t>
        </is>
      </c>
      <c r="C62" s="44" t="inlineStr">
        <is>
          <t>Patel Family</t>
        </is>
      </c>
      <c r="D62" s="48" t="inlineStr">
        <is>
          <t>Both</t>
        </is>
      </c>
      <c r="E62" s="44" t="inlineStr">
        <is>
          <t>Immediate Family</t>
        </is>
      </c>
      <c r="F62" s="44" t="inlineStr">
        <is>
          <t>michael.patel@example.com</t>
        </is>
      </c>
      <c r="G62" s="44" t="inlineStr">
        <is>
          <t>(256) 555-1056</t>
        </is>
      </c>
      <c r="H62" s="48" t="inlineStr">
        <is>
          <t>Invitation Sent</t>
        </is>
      </c>
      <c r="I62" s="48" t="inlineStr">
        <is>
          <t>Attending</t>
        </is>
      </c>
      <c r="J62" s="48" t="inlineStr">
        <is>
          <t>Yes</t>
        </is>
      </c>
      <c r="K62" s="44" t="inlineStr">
        <is>
          <t>Audrey Chambers</t>
        </is>
      </c>
      <c r="L62" s="48" t="inlineStr">
        <is>
          <t>Vegetarian</t>
        </is>
      </c>
      <c r="M62" s="44" t="inlineStr">
        <is>
          <t>Vegetarian</t>
        </is>
      </c>
      <c r="N62" s="48" t="inlineStr">
        <is>
          <t>No</t>
        </is>
      </c>
      <c r="O62" s="48" t="n">
        <v>12</v>
      </c>
      <c r="P62" s="45" t="inlineStr"/>
    </row>
    <row r="63" ht="20" customHeight="1">
      <c r="B63" s="44" t="inlineStr">
        <is>
          <t>Abigail Foster</t>
        </is>
      </c>
      <c r="C63" s="44" t="inlineStr">
        <is>
          <t>Foster Family</t>
        </is>
      </c>
      <c r="D63" s="48" t="inlineStr">
        <is>
          <t>Partner 1</t>
        </is>
      </c>
      <c r="E63" s="44" t="inlineStr">
        <is>
          <t>Extended Family</t>
        </is>
      </c>
      <c r="F63" s="44" t="inlineStr">
        <is>
          <t>abigail.foster@example.com</t>
        </is>
      </c>
      <c r="G63" s="44" t="inlineStr">
        <is>
          <t>(257) 555-1057</t>
        </is>
      </c>
      <c r="H63" s="48" t="inlineStr">
        <is>
          <t>Invitation Sent</t>
        </is>
      </c>
      <c r="I63" s="48" t="inlineStr">
        <is>
          <t>Attending</t>
        </is>
      </c>
      <c r="J63" s="48" t="inlineStr">
        <is>
          <t>No</t>
        </is>
      </c>
      <c r="K63" s="44" t="inlineStr"/>
      <c r="L63" s="48" t="inlineStr">
        <is>
          <t>Vegan</t>
        </is>
      </c>
      <c r="M63" s="44" t="inlineStr">
        <is>
          <t>Vegan</t>
        </is>
      </c>
      <c r="N63" s="48" t="inlineStr">
        <is>
          <t>No</t>
        </is>
      </c>
      <c r="O63" s="48" t="n">
        <v>13</v>
      </c>
      <c r="P63" s="45" t="inlineStr"/>
    </row>
    <row r="64" ht="20" customHeight="1">
      <c r="B64" s="44" t="n"/>
      <c r="C64" s="44" t="n"/>
      <c r="D64" s="48" t="n"/>
      <c r="E64" s="44" t="n"/>
      <c r="F64" s="44" t="n"/>
      <c r="G64" s="44" t="n"/>
      <c r="H64" s="48" t="n"/>
      <c r="I64" s="48" t="n"/>
      <c r="J64" s="48" t="n"/>
      <c r="K64" s="44" t="n"/>
      <c r="L64" s="48" t="n"/>
      <c r="M64" s="44" t="n"/>
      <c r="N64" s="48" t="n"/>
      <c r="O64" s="48" t="n"/>
      <c r="P64" s="45" t="n"/>
    </row>
    <row r="65" ht="20" customHeight="1">
      <c r="B65" s="44" t="n"/>
      <c r="C65" s="44" t="n"/>
      <c r="D65" s="48" t="n"/>
      <c r="E65" s="44" t="n"/>
      <c r="F65" s="44" t="n"/>
      <c r="G65" s="44" t="n"/>
      <c r="H65" s="48" t="n"/>
      <c r="I65" s="48" t="n"/>
      <c r="J65" s="48" t="n"/>
      <c r="K65" s="44" t="n"/>
      <c r="L65" s="48" t="n"/>
      <c r="M65" s="44" t="n"/>
      <c r="N65" s="48" t="n"/>
      <c r="O65" s="48" t="n"/>
      <c r="P65" s="45" t="n"/>
    </row>
    <row r="67">
      <c r="B67" s="5" t="inlineStr">
        <is>
          <t>GUEST SUMMARY</t>
        </is>
      </c>
    </row>
    <row r="68">
      <c r="B68" s="36">
        <f>COUNTA(B6:B65)</f>
        <v/>
      </c>
      <c r="C68" s="19" t="n"/>
      <c r="D68" s="20" t="n"/>
      <c r="E68" s="36">
        <f>COUNTIF(I6:I65,"Attending")</f>
        <v/>
      </c>
      <c r="F68" s="19" t="n"/>
      <c r="G68" s="20" t="n"/>
      <c r="H68" s="36">
        <f>COUNTIF(I6:I65,"Pending")</f>
        <v/>
      </c>
      <c r="I68" s="19" t="n"/>
      <c r="J68" s="20" t="n"/>
      <c r="K68" s="36">
        <f>COUNTIF(I6:I65,"Declined")</f>
        <v/>
      </c>
      <c r="L68" s="19" t="n"/>
      <c r="M68" s="20" t="n"/>
    </row>
    <row r="69">
      <c r="B69" s="30" t="n"/>
      <c r="C69" s="31" t="n"/>
      <c r="D69" s="32" t="n"/>
      <c r="E69" s="30" t="n"/>
      <c r="F69" s="31" t="n"/>
      <c r="G69" s="32" t="n"/>
      <c r="H69" s="30" t="n"/>
      <c r="I69" s="31" t="n"/>
      <c r="J69" s="32" t="n"/>
      <c r="K69" s="30" t="n"/>
      <c r="L69" s="31" t="n"/>
      <c r="M69" s="32" t="n"/>
    </row>
    <row r="70">
      <c r="B70" s="33" t="inlineStr">
        <is>
          <t>TOTAL INVITED</t>
        </is>
      </c>
      <c r="C70" s="34" t="n"/>
      <c r="D70" s="35" t="n"/>
      <c r="E70" s="33" t="inlineStr">
        <is>
          <t>ATTENDING</t>
        </is>
      </c>
      <c r="F70" s="34" t="n"/>
      <c r="G70" s="35" t="n"/>
      <c r="H70" s="33" t="inlineStr">
        <is>
          <t>PENDING</t>
        </is>
      </c>
      <c r="I70" s="34" t="n"/>
      <c r="J70" s="35" t="n"/>
      <c r="K70" s="33" t="inlineStr">
        <is>
          <t>DECLINED</t>
        </is>
      </c>
      <c r="L70" s="34" t="n"/>
      <c r="M70" s="35" t="n"/>
    </row>
  </sheetData>
  <mergeCells count="8">
    <mergeCell ref="B68:D69"/>
    <mergeCell ref="H68:J69"/>
    <mergeCell ref="K70:M70"/>
    <mergeCell ref="E70:G70"/>
    <mergeCell ref="B70:D70"/>
    <mergeCell ref="H70:J70"/>
    <mergeCell ref="E68:G69"/>
    <mergeCell ref="K68:M69"/>
  </mergeCells>
  <conditionalFormatting sqref="I6:I65">
    <cfRule type="expression" priority="1" dxfId="0">
      <formula>EXACT(TRIM(I6),"Attending")</formula>
    </cfRule>
    <cfRule type="expression" priority="2" dxfId="1">
      <formula>EXACT(TRIM(I6),"Declined")</formula>
    </cfRule>
    <cfRule type="expression" priority="3" dxfId="3">
      <formula>EXACT(TRIM(I6),"Pending")</formula>
    </cfRule>
    <cfRule type="expression" priority="4" dxfId="2">
      <formula>EXACT(TRIM(I6),"Tentative")</formula>
    </cfRule>
  </conditionalFormatting>
  <dataValidations count="6">
    <dataValidation sqref="D6:D65" showDropDown="0" showInputMessage="0" showErrorMessage="0" allowBlank="1" errorTitle="Invalid entry" error="Please choose a value from the list." type="list">
      <formula1>Lists!$I$2:$I$4</formula1>
    </dataValidation>
    <dataValidation sqref="H6:H65" showDropDown="0" showInputMessage="0" showErrorMessage="0" allowBlank="1" errorTitle="Invalid entry" error="Please choose a value from the list." type="list">
      <formula1>Lists!$H$2:$H$4</formula1>
    </dataValidation>
    <dataValidation sqref="I6:I65" showDropDown="0" showInputMessage="0" showErrorMessage="0" allowBlank="1" errorTitle="Invalid entry" error="Please choose a value from the list." type="list">
      <formula1>Lists!$A$2:$A$5</formula1>
    </dataValidation>
    <dataValidation sqref="J6:J65" showDropDown="0" showInputMessage="0" showErrorMessage="0" allowBlank="1" errorTitle="Invalid entry" error="Please choose a value from the list." type="list">
      <formula1>Lists!$R$2:$R$3</formula1>
    </dataValidation>
    <dataValidation sqref="L6:L65" showDropDown="0" showInputMessage="0" showErrorMessage="0" allowBlank="1" errorTitle="Invalid entry" error="Please choose a value from the list." type="list">
      <formula1>Lists!$G$2:$G$7</formula1>
    </dataValidation>
    <dataValidation sqref="N6:N65" showDropDown="0" showInputMessage="0" showErrorMessage="0" allowBlank="1" errorTitle="Invalid entry" error="Please choose a value from the list." type="list">
      <formula1>Lists!$S$2:$S$3</formula1>
    </dataValidation>
  </dataValidations>
  <hyperlinks>
    <hyperlink ref="B1" location="'Dashboard'!A1"/>
    <hyperlink ref="C1" location="'START HERE'!A1"/>
  </hyperlinks>
  <pageMargins left="0.4" right="0.4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C98F91"/>
    <outlinePr summaryBelow="1" summaryRight="1"/>
    <pageSetUpPr fitToPage="1"/>
  </sheetPr>
  <dimension ref="A1:K80"/>
  <sheetViews>
    <sheetView showGridLines="0" zoomScale="100" workbookViewId="0">
      <pane xSplit="1" ySplit="20" topLeftCell="B2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20" customWidth="1" min="4" max="4"/>
    <col width="15" customWidth="1" min="5" max="5"/>
    <col width="24" customWidth="1" min="6" max="6"/>
    <col width="22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8" customHeight="1">
      <c r="A1" s="9" t="n"/>
      <c r="B1" s="10" t="inlineStr">
        <is>
          <t>‹ Dashboard</t>
        </is>
      </c>
      <c r="C1" s="10" t="inlineStr">
        <is>
          <t>‹ Start Here</t>
        </is>
      </c>
      <c r="D1" s="9" t="n"/>
      <c r="E1" s="9" t="n"/>
      <c r="F1" s="9" t="n"/>
      <c r="G1" s="9" t="n"/>
      <c r="H1" s="9" t="n"/>
      <c r="I1" s="9" t="n"/>
      <c r="J1" s="9" t="n"/>
      <c r="K1" s="9" t="n"/>
    </row>
    <row r="2" ht="30" customHeight="1">
      <c r="A2" s="9" t="n"/>
      <c r="B2" s="41" t="inlineStr">
        <is>
          <t>SEATING PLAN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 ht="20" customHeight="1">
      <c r="A3" s="16" t="n"/>
      <c r="B3" s="42" t="inlineStr">
        <is>
          <t>Assign every guest to a table — synced automatically with your Guest List.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</row>
    <row r="5">
      <c r="B5" s="5" t="inlineStr">
        <is>
          <t>TABLE OVERVIEW</t>
        </is>
      </c>
    </row>
    <row r="6">
      <c r="B6" s="43" t="inlineStr">
        <is>
          <t>Table #</t>
        </is>
      </c>
      <c r="C6" s="43" t="inlineStr">
        <is>
          <t>Capacity</t>
        </is>
      </c>
      <c r="D6" s="43" t="inlineStr">
        <is>
          <t>Seated</t>
        </is>
      </c>
      <c r="E6" s="43" t="inlineStr">
        <is>
          <t>Seats Remaining</t>
        </is>
      </c>
      <c r="H6" s="43" t="inlineStr">
        <is>
          <t>Table #</t>
        </is>
      </c>
      <c r="I6" s="43" t="inlineStr">
        <is>
          <t>Capacity</t>
        </is>
      </c>
      <c r="J6" s="43" t="inlineStr">
        <is>
          <t>Seated</t>
        </is>
      </c>
      <c r="K6" s="43" t="inlineStr">
        <is>
          <t>Seats Remaining</t>
        </is>
      </c>
    </row>
    <row r="7">
      <c r="B7" s="50" t="n">
        <v>1</v>
      </c>
      <c r="C7" s="51">
        <f>IF(B7&lt;=TableCount,SeatsPerTable,"")</f>
        <v/>
      </c>
      <c r="D7" s="51">
        <f>IF(C7="","",COUNTIF(GuestTable[Table Number],B7))</f>
        <v/>
      </c>
      <c r="E7" s="51">
        <f>IF(C7="","",C7-D7)</f>
        <v/>
      </c>
      <c r="H7" s="50" t="n">
        <v>11</v>
      </c>
      <c r="I7" s="51">
        <f>IF(H7&lt;=TableCount,SeatsPerTable,"")</f>
        <v/>
      </c>
      <c r="J7" s="51">
        <f>IF(I7="","",COUNTIF(GuestTable[Table Number],H7))</f>
        <v/>
      </c>
      <c r="K7" s="51">
        <f>IF(I7="","",I7-J7)</f>
        <v/>
      </c>
    </row>
    <row r="8">
      <c r="B8" s="52" t="n">
        <v>2</v>
      </c>
      <c r="C8" s="53">
        <f>IF(B8&lt;=TableCount,SeatsPerTable,"")</f>
        <v/>
      </c>
      <c r="D8" s="53">
        <f>IF(C8="","",COUNTIF(GuestTable[Table Number],B8))</f>
        <v/>
      </c>
      <c r="E8" s="53">
        <f>IF(C8="","",C8-D8)</f>
        <v/>
      </c>
      <c r="H8" s="52" t="n">
        <v>12</v>
      </c>
      <c r="I8" s="53">
        <f>IF(H8&lt;=TableCount,SeatsPerTable,"")</f>
        <v/>
      </c>
      <c r="J8" s="53">
        <f>IF(I8="","",COUNTIF(GuestTable[Table Number],H8))</f>
        <v/>
      </c>
      <c r="K8" s="53">
        <f>IF(I8="","",I8-J8)</f>
        <v/>
      </c>
    </row>
    <row r="9">
      <c r="B9" s="50" t="n">
        <v>3</v>
      </c>
      <c r="C9" s="51">
        <f>IF(B9&lt;=TableCount,SeatsPerTable,"")</f>
        <v/>
      </c>
      <c r="D9" s="51">
        <f>IF(C9="","",COUNTIF(GuestTable[Table Number],B9))</f>
        <v/>
      </c>
      <c r="E9" s="51">
        <f>IF(C9="","",C9-D9)</f>
        <v/>
      </c>
      <c r="H9" s="50" t="n">
        <v>13</v>
      </c>
      <c r="I9" s="51">
        <f>IF(H9&lt;=TableCount,SeatsPerTable,"")</f>
        <v/>
      </c>
      <c r="J9" s="51">
        <f>IF(I9="","",COUNTIF(GuestTable[Table Number],H9))</f>
        <v/>
      </c>
      <c r="K9" s="51">
        <f>IF(I9="","",I9-J9)</f>
        <v/>
      </c>
    </row>
    <row r="10">
      <c r="B10" s="52" t="n">
        <v>4</v>
      </c>
      <c r="C10" s="53">
        <f>IF(B10&lt;=TableCount,SeatsPerTable,"")</f>
        <v/>
      </c>
      <c r="D10" s="53">
        <f>IF(C10="","",COUNTIF(GuestTable[Table Number],B10))</f>
        <v/>
      </c>
      <c r="E10" s="53">
        <f>IF(C10="","",C10-D10)</f>
        <v/>
      </c>
      <c r="H10" s="52" t="n">
        <v>14</v>
      </c>
      <c r="I10" s="53">
        <f>IF(H10&lt;=TableCount,SeatsPerTable,"")</f>
        <v/>
      </c>
      <c r="J10" s="53">
        <f>IF(I10="","",COUNTIF(GuestTable[Table Number],H10))</f>
        <v/>
      </c>
      <c r="K10" s="53">
        <f>IF(I10="","",I10-J10)</f>
        <v/>
      </c>
    </row>
    <row r="11">
      <c r="B11" s="50" t="n">
        <v>5</v>
      </c>
      <c r="C11" s="51">
        <f>IF(B11&lt;=TableCount,SeatsPerTable,"")</f>
        <v/>
      </c>
      <c r="D11" s="51">
        <f>IF(C11="","",COUNTIF(GuestTable[Table Number],B11))</f>
        <v/>
      </c>
      <c r="E11" s="51">
        <f>IF(C11="","",C11-D11)</f>
        <v/>
      </c>
      <c r="H11" s="50" t="n">
        <v>15</v>
      </c>
      <c r="I11" s="51">
        <f>IF(H11&lt;=TableCount,SeatsPerTable,"")</f>
        <v/>
      </c>
      <c r="J11" s="51">
        <f>IF(I11="","",COUNTIF(GuestTable[Table Number],H11))</f>
        <v/>
      </c>
      <c r="K11" s="51">
        <f>IF(I11="","",I11-J11)</f>
        <v/>
      </c>
    </row>
    <row r="12">
      <c r="B12" s="52" t="n">
        <v>6</v>
      </c>
      <c r="C12" s="53">
        <f>IF(B12&lt;=TableCount,SeatsPerTable,"")</f>
        <v/>
      </c>
      <c r="D12" s="53">
        <f>IF(C12="","",COUNTIF(GuestTable[Table Number],B12))</f>
        <v/>
      </c>
      <c r="E12" s="53">
        <f>IF(C12="","",C12-D12)</f>
        <v/>
      </c>
      <c r="H12" s="52" t="n">
        <v>16</v>
      </c>
      <c r="I12" s="53">
        <f>IF(H12&lt;=TableCount,SeatsPerTable,"")</f>
        <v/>
      </c>
      <c r="J12" s="53">
        <f>IF(I12="","",COUNTIF(GuestTable[Table Number],H12))</f>
        <v/>
      </c>
      <c r="K12" s="53">
        <f>IF(I12="","",I12-J12)</f>
        <v/>
      </c>
    </row>
    <row r="13">
      <c r="B13" s="50" t="n">
        <v>7</v>
      </c>
      <c r="C13" s="51">
        <f>IF(B13&lt;=TableCount,SeatsPerTable,"")</f>
        <v/>
      </c>
      <c r="D13" s="51">
        <f>IF(C13="","",COUNTIF(GuestTable[Table Number],B13))</f>
        <v/>
      </c>
      <c r="E13" s="51">
        <f>IF(C13="","",C13-D13)</f>
        <v/>
      </c>
      <c r="H13" s="50" t="n">
        <v>17</v>
      </c>
      <c r="I13" s="51">
        <f>IF(H13&lt;=TableCount,SeatsPerTable,"")</f>
        <v/>
      </c>
      <c r="J13" s="51">
        <f>IF(I13="","",COUNTIF(GuestTable[Table Number],H13))</f>
        <v/>
      </c>
      <c r="K13" s="51">
        <f>IF(I13="","",I13-J13)</f>
        <v/>
      </c>
    </row>
    <row r="14">
      <c r="B14" s="52" t="n">
        <v>8</v>
      </c>
      <c r="C14" s="53">
        <f>IF(B14&lt;=TableCount,SeatsPerTable,"")</f>
        <v/>
      </c>
      <c r="D14" s="53">
        <f>IF(C14="","",COUNTIF(GuestTable[Table Number],B14))</f>
        <v/>
      </c>
      <c r="E14" s="53">
        <f>IF(C14="","",C14-D14)</f>
        <v/>
      </c>
      <c r="H14" s="52" t="n">
        <v>18</v>
      </c>
      <c r="I14" s="53">
        <f>IF(H14&lt;=TableCount,SeatsPerTable,"")</f>
        <v/>
      </c>
      <c r="J14" s="53">
        <f>IF(I14="","",COUNTIF(GuestTable[Table Number],H14))</f>
        <v/>
      </c>
      <c r="K14" s="53">
        <f>IF(I14="","",I14-J14)</f>
        <v/>
      </c>
    </row>
    <row r="15">
      <c r="B15" s="50" t="n">
        <v>9</v>
      </c>
      <c r="C15" s="51">
        <f>IF(B15&lt;=TableCount,SeatsPerTable,"")</f>
        <v/>
      </c>
      <c r="D15" s="51">
        <f>IF(C15="","",COUNTIF(GuestTable[Table Number],B15))</f>
        <v/>
      </c>
      <c r="E15" s="51">
        <f>IF(C15="","",C15-D15)</f>
        <v/>
      </c>
      <c r="H15" s="50" t="n">
        <v>19</v>
      </c>
      <c r="I15" s="51">
        <f>IF(H15&lt;=TableCount,SeatsPerTable,"")</f>
        <v/>
      </c>
      <c r="J15" s="51">
        <f>IF(I15="","",COUNTIF(GuestTable[Table Number],H15))</f>
        <v/>
      </c>
      <c r="K15" s="51">
        <f>IF(I15="","",I15-J15)</f>
        <v/>
      </c>
    </row>
    <row r="16">
      <c r="B16" s="52" t="n">
        <v>10</v>
      </c>
      <c r="C16" s="53">
        <f>IF(B16&lt;=TableCount,SeatsPerTable,"")</f>
        <v/>
      </c>
      <c r="D16" s="53">
        <f>IF(C16="","",COUNTIF(GuestTable[Table Number],B16))</f>
        <v/>
      </c>
      <c r="E16" s="53">
        <f>IF(C16="","",C16-D16)</f>
        <v/>
      </c>
      <c r="H16" s="52" t="n">
        <v>20</v>
      </c>
      <c r="I16" s="53">
        <f>IF(H16&lt;=TableCount,SeatsPerTable,"")</f>
        <v/>
      </c>
      <c r="J16" s="53">
        <f>IF(I16="","",COUNTIF(GuestTable[Table Number],H16))</f>
        <v/>
      </c>
      <c r="K16" s="53">
        <f>IF(I16="","",I16-J16)</f>
        <v/>
      </c>
    </row>
    <row r="19">
      <c r="B19" s="5" t="inlineStr">
        <is>
          <t>GUEST ROSTER</t>
        </is>
      </c>
    </row>
    <row r="20">
      <c r="B20" s="43" t="inlineStr">
        <is>
          <t>Table Number</t>
        </is>
      </c>
      <c r="C20" s="43" t="inlineStr">
        <is>
          <t>Guest Name</t>
        </is>
      </c>
      <c r="D20" s="43" t="inlineStr">
        <is>
          <t>Household</t>
        </is>
      </c>
      <c r="E20" s="43" t="inlineStr">
        <is>
          <t>Meal</t>
        </is>
      </c>
      <c r="F20" s="43" t="inlineStr">
        <is>
          <t>Special Requirements</t>
        </is>
      </c>
      <c r="G20" s="43" t="inlineStr">
        <is>
          <t>Notes</t>
        </is>
      </c>
    </row>
    <row r="21">
      <c r="B21" s="50">
        <f>IF('Guest List'!O6="","",'Guest List'!O6)</f>
        <v/>
      </c>
      <c r="C21" s="54">
        <f>IF('Guest List'!B6="","",'Guest List'!B6)</f>
        <v/>
      </c>
      <c r="D21" s="54">
        <f>IF('Guest List'!C6="","",'Guest List'!C6)</f>
        <v/>
      </c>
      <c r="E21" s="50">
        <f>IF('Guest List'!L6="","",'Guest List'!L6)</f>
        <v/>
      </c>
      <c r="F21" s="54" t="n"/>
      <c r="G21" s="54" t="n"/>
    </row>
    <row r="22">
      <c r="B22" s="52">
        <f>IF('Guest List'!O7="","",'Guest List'!O7)</f>
        <v/>
      </c>
      <c r="C22" s="55">
        <f>IF('Guest List'!B7="","",'Guest List'!B7)</f>
        <v/>
      </c>
      <c r="D22" s="55">
        <f>IF('Guest List'!C7="","",'Guest List'!C7)</f>
        <v/>
      </c>
      <c r="E22" s="52">
        <f>IF('Guest List'!L7="","",'Guest List'!L7)</f>
        <v/>
      </c>
      <c r="F22" s="55" t="n"/>
      <c r="G22" s="55" t="n"/>
    </row>
    <row r="23">
      <c r="B23" s="50">
        <f>IF('Guest List'!O8="","",'Guest List'!O8)</f>
        <v/>
      </c>
      <c r="C23" s="54">
        <f>IF('Guest List'!B8="","",'Guest List'!B8)</f>
        <v/>
      </c>
      <c r="D23" s="54">
        <f>IF('Guest List'!C8="","",'Guest List'!C8)</f>
        <v/>
      </c>
      <c r="E23" s="50">
        <f>IF('Guest List'!L8="","",'Guest List'!L8)</f>
        <v/>
      </c>
      <c r="F23" s="54" t="n"/>
      <c r="G23" s="54" t="n"/>
    </row>
    <row r="24">
      <c r="B24" s="52">
        <f>IF('Guest List'!O9="","",'Guest List'!O9)</f>
        <v/>
      </c>
      <c r="C24" s="55">
        <f>IF('Guest List'!B9="","",'Guest List'!B9)</f>
        <v/>
      </c>
      <c r="D24" s="55">
        <f>IF('Guest List'!C9="","",'Guest List'!C9)</f>
        <v/>
      </c>
      <c r="E24" s="52">
        <f>IF('Guest List'!L9="","",'Guest List'!L9)</f>
        <v/>
      </c>
      <c r="F24" s="55" t="n"/>
      <c r="G24" s="55" t="n"/>
    </row>
    <row r="25">
      <c r="B25" s="50">
        <f>IF('Guest List'!O10="","",'Guest List'!O10)</f>
        <v/>
      </c>
      <c r="C25" s="54">
        <f>IF('Guest List'!B10="","",'Guest List'!B10)</f>
        <v/>
      </c>
      <c r="D25" s="54">
        <f>IF('Guest List'!C10="","",'Guest List'!C10)</f>
        <v/>
      </c>
      <c r="E25" s="50">
        <f>IF('Guest List'!L10="","",'Guest List'!L10)</f>
        <v/>
      </c>
      <c r="F25" s="54" t="n"/>
      <c r="G25" s="54" t="n"/>
    </row>
    <row r="26">
      <c r="B26" s="52">
        <f>IF('Guest List'!O11="","",'Guest List'!O11)</f>
        <v/>
      </c>
      <c r="C26" s="55">
        <f>IF('Guest List'!B11="","",'Guest List'!B11)</f>
        <v/>
      </c>
      <c r="D26" s="55">
        <f>IF('Guest List'!C11="","",'Guest List'!C11)</f>
        <v/>
      </c>
      <c r="E26" s="52">
        <f>IF('Guest List'!L11="","",'Guest List'!L11)</f>
        <v/>
      </c>
      <c r="F26" s="55" t="n"/>
      <c r="G26" s="55" t="n"/>
    </row>
    <row r="27">
      <c r="B27" s="50">
        <f>IF('Guest List'!O12="","",'Guest List'!O12)</f>
        <v/>
      </c>
      <c r="C27" s="54">
        <f>IF('Guest List'!B12="","",'Guest List'!B12)</f>
        <v/>
      </c>
      <c r="D27" s="54">
        <f>IF('Guest List'!C12="","",'Guest List'!C12)</f>
        <v/>
      </c>
      <c r="E27" s="50">
        <f>IF('Guest List'!L12="","",'Guest List'!L12)</f>
        <v/>
      </c>
      <c r="F27" s="54" t="n"/>
      <c r="G27" s="54" t="n"/>
    </row>
    <row r="28">
      <c r="B28" s="52">
        <f>IF('Guest List'!O13="","",'Guest List'!O13)</f>
        <v/>
      </c>
      <c r="C28" s="55">
        <f>IF('Guest List'!B13="","",'Guest List'!B13)</f>
        <v/>
      </c>
      <c r="D28" s="55">
        <f>IF('Guest List'!C13="","",'Guest List'!C13)</f>
        <v/>
      </c>
      <c r="E28" s="52">
        <f>IF('Guest List'!L13="","",'Guest List'!L13)</f>
        <v/>
      </c>
      <c r="F28" s="55" t="n"/>
      <c r="G28" s="55" t="n"/>
    </row>
    <row r="29">
      <c r="B29" s="50">
        <f>IF('Guest List'!O14="","",'Guest List'!O14)</f>
        <v/>
      </c>
      <c r="C29" s="54">
        <f>IF('Guest List'!B14="","",'Guest List'!B14)</f>
        <v/>
      </c>
      <c r="D29" s="54">
        <f>IF('Guest List'!C14="","",'Guest List'!C14)</f>
        <v/>
      </c>
      <c r="E29" s="50">
        <f>IF('Guest List'!L14="","",'Guest List'!L14)</f>
        <v/>
      </c>
      <c r="F29" s="54" t="n"/>
      <c r="G29" s="54" t="n"/>
    </row>
    <row r="30">
      <c r="B30" s="52">
        <f>IF('Guest List'!O15="","",'Guest List'!O15)</f>
        <v/>
      </c>
      <c r="C30" s="55">
        <f>IF('Guest List'!B15="","",'Guest List'!B15)</f>
        <v/>
      </c>
      <c r="D30" s="55">
        <f>IF('Guest List'!C15="","",'Guest List'!C15)</f>
        <v/>
      </c>
      <c r="E30" s="52">
        <f>IF('Guest List'!L15="","",'Guest List'!L15)</f>
        <v/>
      </c>
      <c r="F30" s="55" t="n"/>
      <c r="G30" s="55" t="n"/>
    </row>
    <row r="31">
      <c r="B31" s="50">
        <f>IF('Guest List'!O16="","",'Guest List'!O16)</f>
        <v/>
      </c>
      <c r="C31" s="54">
        <f>IF('Guest List'!B16="","",'Guest List'!B16)</f>
        <v/>
      </c>
      <c r="D31" s="54">
        <f>IF('Guest List'!C16="","",'Guest List'!C16)</f>
        <v/>
      </c>
      <c r="E31" s="50">
        <f>IF('Guest List'!L16="","",'Guest List'!L16)</f>
        <v/>
      </c>
      <c r="F31" s="54" t="n"/>
      <c r="G31" s="54" t="n"/>
    </row>
    <row r="32">
      <c r="B32" s="52">
        <f>IF('Guest List'!O17="","",'Guest List'!O17)</f>
        <v/>
      </c>
      <c r="C32" s="55">
        <f>IF('Guest List'!B17="","",'Guest List'!B17)</f>
        <v/>
      </c>
      <c r="D32" s="55">
        <f>IF('Guest List'!C17="","",'Guest List'!C17)</f>
        <v/>
      </c>
      <c r="E32" s="52">
        <f>IF('Guest List'!L17="","",'Guest List'!L17)</f>
        <v/>
      </c>
      <c r="F32" s="55" t="n"/>
      <c r="G32" s="55" t="n"/>
    </row>
    <row r="33">
      <c r="B33" s="50">
        <f>IF('Guest List'!O18="","",'Guest List'!O18)</f>
        <v/>
      </c>
      <c r="C33" s="54">
        <f>IF('Guest List'!B18="","",'Guest List'!B18)</f>
        <v/>
      </c>
      <c r="D33" s="54">
        <f>IF('Guest List'!C18="","",'Guest List'!C18)</f>
        <v/>
      </c>
      <c r="E33" s="50">
        <f>IF('Guest List'!L18="","",'Guest List'!L18)</f>
        <v/>
      </c>
      <c r="F33" s="54" t="n"/>
      <c r="G33" s="54" t="n"/>
    </row>
    <row r="34">
      <c r="B34" s="52">
        <f>IF('Guest List'!O19="","",'Guest List'!O19)</f>
        <v/>
      </c>
      <c r="C34" s="55">
        <f>IF('Guest List'!B19="","",'Guest List'!B19)</f>
        <v/>
      </c>
      <c r="D34" s="55">
        <f>IF('Guest List'!C19="","",'Guest List'!C19)</f>
        <v/>
      </c>
      <c r="E34" s="52">
        <f>IF('Guest List'!L19="","",'Guest List'!L19)</f>
        <v/>
      </c>
      <c r="F34" s="55" t="n"/>
      <c r="G34" s="55" t="n"/>
    </row>
    <row r="35">
      <c r="B35" s="50">
        <f>IF('Guest List'!O20="","",'Guest List'!O20)</f>
        <v/>
      </c>
      <c r="C35" s="54">
        <f>IF('Guest List'!B20="","",'Guest List'!B20)</f>
        <v/>
      </c>
      <c r="D35" s="54">
        <f>IF('Guest List'!C20="","",'Guest List'!C20)</f>
        <v/>
      </c>
      <c r="E35" s="50">
        <f>IF('Guest List'!L20="","",'Guest List'!L20)</f>
        <v/>
      </c>
      <c r="F35" s="54" t="n"/>
      <c r="G35" s="54" t="n"/>
    </row>
    <row r="36">
      <c r="B36" s="52">
        <f>IF('Guest List'!O21="","",'Guest List'!O21)</f>
        <v/>
      </c>
      <c r="C36" s="55">
        <f>IF('Guest List'!B21="","",'Guest List'!B21)</f>
        <v/>
      </c>
      <c r="D36" s="55">
        <f>IF('Guest List'!C21="","",'Guest List'!C21)</f>
        <v/>
      </c>
      <c r="E36" s="52">
        <f>IF('Guest List'!L21="","",'Guest List'!L21)</f>
        <v/>
      </c>
      <c r="F36" s="55" t="n"/>
      <c r="G36" s="55" t="n"/>
    </row>
    <row r="37">
      <c r="B37" s="50">
        <f>IF('Guest List'!O22="","",'Guest List'!O22)</f>
        <v/>
      </c>
      <c r="C37" s="54">
        <f>IF('Guest List'!B22="","",'Guest List'!B22)</f>
        <v/>
      </c>
      <c r="D37" s="54">
        <f>IF('Guest List'!C22="","",'Guest List'!C22)</f>
        <v/>
      </c>
      <c r="E37" s="50">
        <f>IF('Guest List'!L22="","",'Guest List'!L22)</f>
        <v/>
      </c>
      <c r="F37" s="54" t="n"/>
      <c r="G37" s="54" t="n"/>
    </row>
    <row r="38">
      <c r="B38" s="52">
        <f>IF('Guest List'!O23="","",'Guest List'!O23)</f>
        <v/>
      </c>
      <c r="C38" s="55">
        <f>IF('Guest List'!B23="","",'Guest List'!B23)</f>
        <v/>
      </c>
      <c r="D38" s="55">
        <f>IF('Guest List'!C23="","",'Guest List'!C23)</f>
        <v/>
      </c>
      <c r="E38" s="52">
        <f>IF('Guest List'!L23="","",'Guest List'!L23)</f>
        <v/>
      </c>
      <c r="F38" s="55" t="n"/>
      <c r="G38" s="55" t="n"/>
    </row>
    <row r="39">
      <c r="B39" s="50">
        <f>IF('Guest List'!O24="","",'Guest List'!O24)</f>
        <v/>
      </c>
      <c r="C39" s="54">
        <f>IF('Guest List'!B24="","",'Guest List'!B24)</f>
        <v/>
      </c>
      <c r="D39" s="54">
        <f>IF('Guest List'!C24="","",'Guest List'!C24)</f>
        <v/>
      </c>
      <c r="E39" s="50">
        <f>IF('Guest List'!L24="","",'Guest List'!L24)</f>
        <v/>
      </c>
      <c r="F39" s="54" t="n"/>
      <c r="G39" s="54" t="n"/>
    </row>
    <row r="40">
      <c r="B40" s="52">
        <f>IF('Guest List'!O25="","",'Guest List'!O25)</f>
        <v/>
      </c>
      <c r="C40" s="55">
        <f>IF('Guest List'!B25="","",'Guest List'!B25)</f>
        <v/>
      </c>
      <c r="D40" s="55">
        <f>IF('Guest List'!C25="","",'Guest List'!C25)</f>
        <v/>
      </c>
      <c r="E40" s="52">
        <f>IF('Guest List'!L25="","",'Guest List'!L25)</f>
        <v/>
      </c>
      <c r="F40" s="55" t="n"/>
      <c r="G40" s="55" t="n"/>
    </row>
    <row r="41">
      <c r="B41" s="50">
        <f>IF('Guest List'!O26="","",'Guest List'!O26)</f>
        <v/>
      </c>
      <c r="C41" s="54">
        <f>IF('Guest List'!B26="","",'Guest List'!B26)</f>
        <v/>
      </c>
      <c r="D41" s="54">
        <f>IF('Guest List'!C26="","",'Guest List'!C26)</f>
        <v/>
      </c>
      <c r="E41" s="50">
        <f>IF('Guest List'!L26="","",'Guest List'!L26)</f>
        <v/>
      </c>
      <c r="F41" s="54" t="n"/>
      <c r="G41" s="54" t="n"/>
    </row>
    <row r="42">
      <c r="B42" s="52">
        <f>IF('Guest List'!O27="","",'Guest List'!O27)</f>
        <v/>
      </c>
      <c r="C42" s="55">
        <f>IF('Guest List'!B27="","",'Guest List'!B27)</f>
        <v/>
      </c>
      <c r="D42" s="55">
        <f>IF('Guest List'!C27="","",'Guest List'!C27)</f>
        <v/>
      </c>
      <c r="E42" s="52">
        <f>IF('Guest List'!L27="","",'Guest List'!L27)</f>
        <v/>
      </c>
      <c r="F42" s="55" t="n"/>
      <c r="G42" s="55" t="n"/>
    </row>
    <row r="43">
      <c r="B43" s="50">
        <f>IF('Guest List'!O28="","",'Guest List'!O28)</f>
        <v/>
      </c>
      <c r="C43" s="54">
        <f>IF('Guest List'!B28="","",'Guest List'!B28)</f>
        <v/>
      </c>
      <c r="D43" s="54">
        <f>IF('Guest List'!C28="","",'Guest List'!C28)</f>
        <v/>
      </c>
      <c r="E43" s="50">
        <f>IF('Guest List'!L28="","",'Guest List'!L28)</f>
        <v/>
      </c>
      <c r="F43" s="54" t="n"/>
      <c r="G43" s="54" t="n"/>
    </row>
    <row r="44">
      <c r="B44" s="52">
        <f>IF('Guest List'!O29="","",'Guest List'!O29)</f>
        <v/>
      </c>
      <c r="C44" s="55">
        <f>IF('Guest List'!B29="","",'Guest List'!B29)</f>
        <v/>
      </c>
      <c r="D44" s="55">
        <f>IF('Guest List'!C29="","",'Guest List'!C29)</f>
        <v/>
      </c>
      <c r="E44" s="52">
        <f>IF('Guest List'!L29="","",'Guest List'!L29)</f>
        <v/>
      </c>
      <c r="F44" s="55" t="n"/>
      <c r="G44" s="55" t="n"/>
    </row>
    <row r="45">
      <c r="B45" s="50">
        <f>IF('Guest List'!O30="","",'Guest List'!O30)</f>
        <v/>
      </c>
      <c r="C45" s="54">
        <f>IF('Guest List'!B30="","",'Guest List'!B30)</f>
        <v/>
      </c>
      <c r="D45" s="54">
        <f>IF('Guest List'!C30="","",'Guest List'!C30)</f>
        <v/>
      </c>
      <c r="E45" s="50">
        <f>IF('Guest List'!L30="","",'Guest List'!L30)</f>
        <v/>
      </c>
      <c r="F45" s="54" t="n"/>
      <c r="G45" s="54" t="n"/>
    </row>
    <row r="46">
      <c r="B46" s="52">
        <f>IF('Guest List'!O31="","",'Guest List'!O31)</f>
        <v/>
      </c>
      <c r="C46" s="55">
        <f>IF('Guest List'!B31="","",'Guest List'!B31)</f>
        <v/>
      </c>
      <c r="D46" s="55">
        <f>IF('Guest List'!C31="","",'Guest List'!C31)</f>
        <v/>
      </c>
      <c r="E46" s="52">
        <f>IF('Guest List'!L31="","",'Guest List'!L31)</f>
        <v/>
      </c>
      <c r="F46" s="55" t="n"/>
      <c r="G46" s="55" t="n"/>
    </row>
    <row r="47">
      <c r="B47" s="50">
        <f>IF('Guest List'!O32="","",'Guest List'!O32)</f>
        <v/>
      </c>
      <c r="C47" s="54">
        <f>IF('Guest List'!B32="","",'Guest List'!B32)</f>
        <v/>
      </c>
      <c r="D47" s="54">
        <f>IF('Guest List'!C32="","",'Guest List'!C32)</f>
        <v/>
      </c>
      <c r="E47" s="50">
        <f>IF('Guest List'!L32="","",'Guest List'!L32)</f>
        <v/>
      </c>
      <c r="F47" s="54" t="n"/>
      <c r="G47" s="54" t="n"/>
    </row>
    <row r="48">
      <c r="B48" s="52">
        <f>IF('Guest List'!O33="","",'Guest List'!O33)</f>
        <v/>
      </c>
      <c r="C48" s="55">
        <f>IF('Guest List'!B33="","",'Guest List'!B33)</f>
        <v/>
      </c>
      <c r="D48" s="55">
        <f>IF('Guest List'!C33="","",'Guest List'!C33)</f>
        <v/>
      </c>
      <c r="E48" s="52">
        <f>IF('Guest List'!L33="","",'Guest List'!L33)</f>
        <v/>
      </c>
      <c r="F48" s="55" t="n"/>
      <c r="G48" s="55" t="n"/>
    </row>
    <row r="49">
      <c r="B49" s="50">
        <f>IF('Guest List'!O34="","",'Guest List'!O34)</f>
        <v/>
      </c>
      <c r="C49" s="54">
        <f>IF('Guest List'!B34="","",'Guest List'!B34)</f>
        <v/>
      </c>
      <c r="D49" s="54">
        <f>IF('Guest List'!C34="","",'Guest List'!C34)</f>
        <v/>
      </c>
      <c r="E49" s="50">
        <f>IF('Guest List'!L34="","",'Guest List'!L34)</f>
        <v/>
      </c>
      <c r="F49" s="54" t="n"/>
      <c r="G49" s="54" t="n"/>
    </row>
    <row r="50">
      <c r="B50" s="52">
        <f>IF('Guest List'!O35="","",'Guest List'!O35)</f>
        <v/>
      </c>
      <c r="C50" s="55">
        <f>IF('Guest List'!B35="","",'Guest List'!B35)</f>
        <v/>
      </c>
      <c r="D50" s="55">
        <f>IF('Guest List'!C35="","",'Guest List'!C35)</f>
        <v/>
      </c>
      <c r="E50" s="52">
        <f>IF('Guest List'!L35="","",'Guest List'!L35)</f>
        <v/>
      </c>
      <c r="F50" s="55" t="n"/>
      <c r="G50" s="55" t="n"/>
    </row>
    <row r="51">
      <c r="B51" s="50">
        <f>IF('Guest List'!O36="","",'Guest List'!O36)</f>
        <v/>
      </c>
      <c r="C51" s="54">
        <f>IF('Guest List'!B36="","",'Guest List'!B36)</f>
        <v/>
      </c>
      <c r="D51" s="54">
        <f>IF('Guest List'!C36="","",'Guest List'!C36)</f>
        <v/>
      </c>
      <c r="E51" s="50">
        <f>IF('Guest List'!L36="","",'Guest List'!L36)</f>
        <v/>
      </c>
      <c r="F51" s="54" t="n"/>
      <c r="G51" s="54" t="n"/>
    </row>
    <row r="52">
      <c r="B52" s="52">
        <f>IF('Guest List'!O37="","",'Guest List'!O37)</f>
        <v/>
      </c>
      <c r="C52" s="55">
        <f>IF('Guest List'!B37="","",'Guest List'!B37)</f>
        <v/>
      </c>
      <c r="D52" s="55">
        <f>IF('Guest List'!C37="","",'Guest List'!C37)</f>
        <v/>
      </c>
      <c r="E52" s="52">
        <f>IF('Guest List'!L37="","",'Guest List'!L37)</f>
        <v/>
      </c>
      <c r="F52" s="55" t="n"/>
      <c r="G52" s="55" t="n"/>
    </row>
    <row r="53">
      <c r="B53" s="50">
        <f>IF('Guest List'!O38="","",'Guest List'!O38)</f>
        <v/>
      </c>
      <c r="C53" s="54">
        <f>IF('Guest List'!B38="","",'Guest List'!B38)</f>
        <v/>
      </c>
      <c r="D53" s="54">
        <f>IF('Guest List'!C38="","",'Guest List'!C38)</f>
        <v/>
      </c>
      <c r="E53" s="50">
        <f>IF('Guest List'!L38="","",'Guest List'!L38)</f>
        <v/>
      </c>
      <c r="F53" s="54" t="n"/>
      <c r="G53" s="54" t="n"/>
    </row>
    <row r="54">
      <c r="B54" s="52">
        <f>IF('Guest List'!O39="","",'Guest List'!O39)</f>
        <v/>
      </c>
      <c r="C54" s="55">
        <f>IF('Guest List'!B39="","",'Guest List'!B39)</f>
        <v/>
      </c>
      <c r="D54" s="55">
        <f>IF('Guest List'!C39="","",'Guest List'!C39)</f>
        <v/>
      </c>
      <c r="E54" s="52">
        <f>IF('Guest List'!L39="","",'Guest List'!L39)</f>
        <v/>
      </c>
      <c r="F54" s="55" t="n"/>
      <c r="G54" s="55" t="n"/>
    </row>
    <row r="55">
      <c r="B55" s="50">
        <f>IF('Guest List'!O40="","",'Guest List'!O40)</f>
        <v/>
      </c>
      <c r="C55" s="54">
        <f>IF('Guest List'!B40="","",'Guest List'!B40)</f>
        <v/>
      </c>
      <c r="D55" s="54">
        <f>IF('Guest List'!C40="","",'Guest List'!C40)</f>
        <v/>
      </c>
      <c r="E55" s="50">
        <f>IF('Guest List'!L40="","",'Guest List'!L40)</f>
        <v/>
      </c>
      <c r="F55" s="54" t="n"/>
      <c r="G55" s="54" t="n"/>
    </row>
    <row r="56">
      <c r="B56" s="52">
        <f>IF('Guest List'!O41="","",'Guest List'!O41)</f>
        <v/>
      </c>
      <c r="C56" s="55">
        <f>IF('Guest List'!B41="","",'Guest List'!B41)</f>
        <v/>
      </c>
      <c r="D56" s="55">
        <f>IF('Guest List'!C41="","",'Guest List'!C41)</f>
        <v/>
      </c>
      <c r="E56" s="52">
        <f>IF('Guest List'!L41="","",'Guest List'!L41)</f>
        <v/>
      </c>
      <c r="F56" s="55" t="n"/>
      <c r="G56" s="55" t="n"/>
    </row>
    <row r="57">
      <c r="B57" s="50">
        <f>IF('Guest List'!O42="","",'Guest List'!O42)</f>
        <v/>
      </c>
      <c r="C57" s="54">
        <f>IF('Guest List'!B42="","",'Guest List'!B42)</f>
        <v/>
      </c>
      <c r="D57" s="54">
        <f>IF('Guest List'!C42="","",'Guest List'!C42)</f>
        <v/>
      </c>
      <c r="E57" s="50">
        <f>IF('Guest List'!L42="","",'Guest List'!L42)</f>
        <v/>
      </c>
      <c r="F57" s="54" t="n"/>
      <c r="G57" s="54" t="n"/>
    </row>
    <row r="58">
      <c r="B58" s="52">
        <f>IF('Guest List'!O43="","",'Guest List'!O43)</f>
        <v/>
      </c>
      <c r="C58" s="55">
        <f>IF('Guest List'!B43="","",'Guest List'!B43)</f>
        <v/>
      </c>
      <c r="D58" s="55">
        <f>IF('Guest List'!C43="","",'Guest List'!C43)</f>
        <v/>
      </c>
      <c r="E58" s="52">
        <f>IF('Guest List'!L43="","",'Guest List'!L43)</f>
        <v/>
      </c>
      <c r="F58" s="55" t="n"/>
      <c r="G58" s="55" t="n"/>
    </row>
    <row r="59">
      <c r="B59" s="50">
        <f>IF('Guest List'!O44="","",'Guest List'!O44)</f>
        <v/>
      </c>
      <c r="C59" s="54">
        <f>IF('Guest List'!B44="","",'Guest List'!B44)</f>
        <v/>
      </c>
      <c r="D59" s="54">
        <f>IF('Guest List'!C44="","",'Guest List'!C44)</f>
        <v/>
      </c>
      <c r="E59" s="50">
        <f>IF('Guest List'!L44="","",'Guest List'!L44)</f>
        <v/>
      </c>
      <c r="F59" s="54" t="n"/>
      <c r="G59" s="54" t="n"/>
    </row>
    <row r="60">
      <c r="B60" s="52">
        <f>IF('Guest List'!O45="","",'Guest List'!O45)</f>
        <v/>
      </c>
      <c r="C60" s="55">
        <f>IF('Guest List'!B45="","",'Guest List'!B45)</f>
        <v/>
      </c>
      <c r="D60" s="55">
        <f>IF('Guest List'!C45="","",'Guest List'!C45)</f>
        <v/>
      </c>
      <c r="E60" s="52">
        <f>IF('Guest List'!L45="","",'Guest List'!L45)</f>
        <v/>
      </c>
      <c r="F60" s="55" t="n"/>
      <c r="G60" s="55" t="n"/>
    </row>
    <row r="61">
      <c r="B61" s="50">
        <f>IF('Guest List'!O46="","",'Guest List'!O46)</f>
        <v/>
      </c>
      <c r="C61" s="54">
        <f>IF('Guest List'!B46="","",'Guest List'!B46)</f>
        <v/>
      </c>
      <c r="D61" s="54">
        <f>IF('Guest List'!C46="","",'Guest List'!C46)</f>
        <v/>
      </c>
      <c r="E61" s="50">
        <f>IF('Guest List'!L46="","",'Guest List'!L46)</f>
        <v/>
      </c>
      <c r="F61" s="54" t="n"/>
      <c r="G61" s="54" t="n"/>
    </row>
    <row r="62">
      <c r="B62" s="52">
        <f>IF('Guest List'!O47="","",'Guest List'!O47)</f>
        <v/>
      </c>
      <c r="C62" s="55">
        <f>IF('Guest List'!B47="","",'Guest List'!B47)</f>
        <v/>
      </c>
      <c r="D62" s="55">
        <f>IF('Guest List'!C47="","",'Guest List'!C47)</f>
        <v/>
      </c>
      <c r="E62" s="52">
        <f>IF('Guest List'!L47="","",'Guest List'!L47)</f>
        <v/>
      </c>
      <c r="F62" s="55" t="n"/>
      <c r="G62" s="55" t="n"/>
    </row>
    <row r="63">
      <c r="B63" s="50">
        <f>IF('Guest List'!O48="","",'Guest List'!O48)</f>
        <v/>
      </c>
      <c r="C63" s="54">
        <f>IF('Guest List'!B48="","",'Guest List'!B48)</f>
        <v/>
      </c>
      <c r="D63" s="54">
        <f>IF('Guest List'!C48="","",'Guest List'!C48)</f>
        <v/>
      </c>
      <c r="E63" s="50">
        <f>IF('Guest List'!L48="","",'Guest List'!L48)</f>
        <v/>
      </c>
      <c r="F63" s="54" t="n"/>
      <c r="G63" s="54" t="n"/>
    </row>
    <row r="64">
      <c r="B64" s="52">
        <f>IF('Guest List'!O49="","",'Guest List'!O49)</f>
        <v/>
      </c>
      <c r="C64" s="55">
        <f>IF('Guest List'!B49="","",'Guest List'!B49)</f>
        <v/>
      </c>
      <c r="D64" s="55">
        <f>IF('Guest List'!C49="","",'Guest List'!C49)</f>
        <v/>
      </c>
      <c r="E64" s="52">
        <f>IF('Guest List'!L49="","",'Guest List'!L49)</f>
        <v/>
      </c>
      <c r="F64" s="55" t="n"/>
      <c r="G64" s="55" t="n"/>
    </row>
    <row r="65">
      <c r="B65" s="50">
        <f>IF('Guest List'!O50="","",'Guest List'!O50)</f>
        <v/>
      </c>
      <c r="C65" s="54">
        <f>IF('Guest List'!B50="","",'Guest List'!B50)</f>
        <v/>
      </c>
      <c r="D65" s="54">
        <f>IF('Guest List'!C50="","",'Guest List'!C50)</f>
        <v/>
      </c>
      <c r="E65" s="50">
        <f>IF('Guest List'!L50="","",'Guest List'!L50)</f>
        <v/>
      </c>
      <c r="F65" s="54" t="n"/>
      <c r="G65" s="54" t="n"/>
    </row>
    <row r="66">
      <c r="B66" s="52">
        <f>IF('Guest List'!O51="","",'Guest List'!O51)</f>
        <v/>
      </c>
      <c r="C66" s="55">
        <f>IF('Guest List'!B51="","",'Guest List'!B51)</f>
        <v/>
      </c>
      <c r="D66" s="55">
        <f>IF('Guest List'!C51="","",'Guest List'!C51)</f>
        <v/>
      </c>
      <c r="E66" s="52">
        <f>IF('Guest List'!L51="","",'Guest List'!L51)</f>
        <v/>
      </c>
      <c r="F66" s="55" t="n"/>
      <c r="G66" s="55" t="n"/>
    </row>
    <row r="67">
      <c r="B67" s="50">
        <f>IF('Guest List'!O52="","",'Guest List'!O52)</f>
        <v/>
      </c>
      <c r="C67" s="54">
        <f>IF('Guest List'!B52="","",'Guest List'!B52)</f>
        <v/>
      </c>
      <c r="D67" s="54">
        <f>IF('Guest List'!C52="","",'Guest List'!C52)</f>
        <v/>
      </c>
      <c r="E67" s="50">
        <f>IF('Guest List'!L52="","",'Guest List'!L52)</f>
        <v/>
      </c>
      <c r="F67" s="54" t="n"/>
      <c r="G67" s="54" t="n"/>
    </row>
    <row r="68">
      <c r="B68" s="52">
        <f>IF('Guest List'!O53="","",'Guest List'!O53)</f>
        <v/>
      </c>
      <c r="C68" s="55">
        <f>IF('Guest List'!B53="","",'Guest List'!B53)</f>
        <v/>
      </c>
      <c r="D68" s="55">
        <f>IF('Guest List'!C53="","",'Guest List'!C53)</f>
        <v/>
      </c>
      <c r="E68" s="52">
        <f>IF('Guest List'!L53="","",'Guest List'!L53)</f>
        <v/>
      </c>
      <c r="F68" s="55" t="n"/>
      <c r="G68" s="55" t="n"/>
    </row>
    <row r="69">
      <c r="B69" s="50">
        <f>IF('Guest List'!O54="","",'Guest List'!O54)</f>
        <v/>
      </c>
      <c r="C69" s="54">
        <f>IF('Guest List'!B54="","",'Guest List'!B54)</f>
        <v/>
      </c>
      <c r="D69" s="54">
        <f>IF('Guest List'!C54="","",'Guest List'!C54)</f>
        <v/>
      </c>
      <c r="E69" s="50">
        <f>IF('Guest List'!L54="","",'Guest List'!L54)</f>
        <v/>
      </c>
      <c r="F69" s="54" t="n"/>
      <c r="G69" s="54" t="n"/>
    </row>
    <row r="70">
      <c r="B70" s="52">
        <f>IF('Guest List'!O55="","",'Guest List'!O55)</f>
        <v/>
      </c>
      <c r="C70" s="55">
        <f>IF('Guest List'!B55="","",'Guest List'!B55)</f>
        <v/>
      </c>
      <c r="D70" s="55">
        <f>IF('Guest List'!C55="","",'Guest List'!C55)</f>
        <v/>
      </c>
      <c r="E70" s="52">
        <f>IF('Guest List'!L55="","",'Guest List'!L55)</f>
        <v/>
      </c>
      <c r="F70" s="55" t="n"/>
      <c r="G70" s="55" t="n"/>
    </row>
    <row r="71">
      <c r="B71" s="50">
        <f>IF('Guest List'!O56="","",'Guest List'!O56)</f>
        <v/>
      </c>
      <c r="C71" s="54">
        <f>IF('Guest List'!B56="","",'Guest List'!B56)</f>
        <v/>
      </c>
      <c r="D71" s="54">
        <f>IF('Guest List'!C56="","",'Guest List'!C56)</f>
        <v/>
      </c>
      <c r="E71" s="50">
        <f>IF('Guest List'!L56="","",'Guest List'!L56)</f>
        <v/>
      </c>
      <c r="F71" s="54" t="n"/>
      <c r="G71" s="54" t="n"/>
    </row>
    <row r="72">
      <c r="B72" s="52">
        <f>IF('Guest List'!O57="","",'Guest List'!O57)</f>
        <v/>
      </c>
      <c r="C72" s="55">
        <f>IF('Guest List'!B57="","",'Guest List'!B57)</f>
        <v/>
      </c>
      <c r="D72" s="55">
        <f>IF('Guest List'!C57="","",'Guest List'!C57)</f>
        <v/>
      </c>
      <c r="E72" s="52">
        <f>IF('Guest List'!L57="","",'Guest List'!L57)</f>
        <v/>
      </c>
      <c r="F72" s="55" t="n"/>
      <c r="G72" s="55" t="n"/>
    </row>
    <row r="73">
      <c r="B73" s="50">
        <f>IF('Guest List'!O58="","",'Guest List'!O58)</f>
        <v/>
      </c>
      <c r="C73" s="54">
        <f>IF('Guest List'!B58="","",'Guest List'!B58)</f>
        <v/>
      </c>
      <c r="D73" s="54">
        <f>IF('Guest List'!C58="","",'Guest List'!C58)</f>
        <v/>
      </c>
      <c r="E73" s="50">
        <f>IF('Guest List'!L58="","",'Guest List'!L58)</f>
        <v/>
      </c>
      <c r="F73" s="54" t="n"/>
      <c r="G73" s="54" t="n"/>
    </row>
    <row r="74">
      <c r="B74" s="52">
        <f>IF('Guest List'!O59="","",'Guest List'!O59)</f>
        <v/>
      </c>
      <c r="C74" s="55">
        <f>IF('Guest List'!B59="","",'Guest List'!B59)</f>
        <v/>
      </c>
      <c r="D74" s="55">
        <f>IF('Guest List'!C59="","",'Guest List'!C59)</f>
        <v/>
      </c>
      <c r="E74" s="52">
        <f>IF('Guest List'!L59="","",'Guest List'!L59)</f>
        <v/>
      </c>
      <c r="F74" s="55" t="n"/>
      <c r="G74" s="55" t="n"/>
    </row>
    <row r="75">
      <c r="B75" s="50">
        <f>IF('Guest List'!O60="","",'Guest List'!O60)</f>
        <v/>
      </c>
      <c r="C75" s="54">
        <f>IF('Guest List'!B60="","",'Guest List'!B60)</f>
        <v/>
      </c>
      <c r="D75" s="54">
        <f>IF('Guest List'!C60="","",'Guest List'!C60)</f>
        <v/>
      </c>
      <c r="E75" s="50">
        <f>IF('Guest List'!L60="","",'Guest List'!L60)</f>
        <v/>
      </c>
      <c r="F75" s="54" t="n"/>
      <c r="G75" s="54" t="n"/>
    </row>
    <row r="76">
      <c r="B76" s="52">
        <f>IF('Guest List'!O61="","",'Guest List'!O61)</f>
        <v/>
      </c>
      <c r="C76" s="55">
        <f>IF('Guest List'!B61="","",'Guest List'!B61)</f>
        <v/>
      </c>
      <c r="D76" s="55">
        <f>IF('Guest List'!C61="","",'Guest List'!C61)</f>
        <v/>
      </c>
      <c r="E76" s="52">
        <f>IF('Guest List'!L61="","",'Guest List'!L61)</f>
        <v/>
      </c>
      <c r="F76" s="55" t="n"/>
      <c r="G76" s="55" t="n"/>
    </row>
    <row r="77">
      <c r="B77" s="50">
        <f>IF('Guest List'!O62="","",'Guest List'!O62)</f>
        <v/>
      </c>
      <c r="C77" s="54">
        <f>IF('Guest List'!B62="","",'Guest List'!B62)</f>
        <v/>
      </c>
      <c r="D77" s="54">
        <f>IF('Guest List'!C62="","",'Guest List'!C62)</f>
        <v/>
      </c>
      <c r="E77" s="50">
        <f>IF('Guest List'!L62="","",'Guest List'!L62)</f>
        <v/>
      </c>
      <c r="F77" s="54" t="n"/>
      <c r="G77" s="54" t="n"/>
    </row>
    <row r="78">
      <c r="B78" s="52">
        <f>IF('Guest List'!O63="","",'Guest List'!O63)</f>
        <v/>
      </c>
      <c r="C78" s="55">
        <f>IF('Guest List'!B63="","",'Guest List'!B63)</f>
        <v/>
      </c>
      <c r="D78" s="55">
        <f>IF('Guest List'!C63="","",'Guest List'!C63)</f>
        <v/>
      </c>
      <c r="E78" s="52">
        <f>IF('Guest List'!L63="","",'Guest List'!L63)</f>
        <v/>
      </c>
      <c r="F78" s="55" t="n"/>
      <c r="G78" s="55" t="n"/>
    </row>
    <row r="79">
      <c r="B79" s="50">
        <f>IF('Guest List'!O64="","",'Guest List'!O64)</f>
        <v/>
      </c>
      <c r="C79" s="54">
        <f>IF('Guest List'!B64="","",'Guest List'!B64)</f>
        <v/>
      </c>
      <c r="D79" s="54">
        <f>IF('Guest List'!C64="","",'Guest List'!C64)</f>
        <v/>
      </c>
      <c r="E79" s="50">
        <f>IF('Guest List'!L64="","",'Guest List'!L64)</f>
        <v/>
      </c>
      <c r="F79" s="54" t="n"/>
      <c r="G79" s="54" t="n"/>
    </row>
    <row r="80">
      <c r="B80" s="52">
        <f>IF('Guest List'!O65="","",'Guest List'!O65)</f>
        <v/>
      </c>
      <c r="C80" s="55">
        <f>IF('Guest List'!B65="","",'Guest List'!B65)</f>
        <v/>
      </c>
      <c r="D80" s="55">
        <f>IF('Guest List'!C65="","",'Guest List'!C65)</f>
        <v/>
      </c>
      <c r="E80" s="52">
        <f>IF('Guest List'!L65="","",'Guest List'!L65)</f>
        <v/>
      </c>
      <c r="F80" s="55" t="n"/>
      <c r="G80" s="55" t="n"/>
    </row>
  </sheetData>
  <mergeCells count="2">
    <mergeCell ref="B19:K19"/>
    <mergeCell ref="B5:K5"/>
  </mergeCells>
  <conditionalFormatting sqref="E7:E16">
    <cfRule type="expression" priority="1" dxfId="1">
      <formula>AND(E7&lt;&gt;"",E7&lt;0)</formula>
    </cfRule>
  </conditionalFormatting>
  <conditionalFormatting sqref="K7:K16">
    <cfRule type="expression" priority="2" dxfId="1">
      <formula>AND(K7&lt;&gt;"",K7&lt;0)</formula>
    </cfRule>
  </conditionalFormatting>
  <hyperlinks>
    <hyperlink ref="B1" location="'Dashboard'!A1"/>
    <hyperlink ref="C1" location="'START HERE'!A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C98F91"/>
    <outlinePr summaryBelow="1" summaryRight="1"/>
    <pageSetUpPr fitToPage="1"/>
  </sheetPr>
  <dimension ref="A1:G21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6" customWidth="1" min="3" max="3"/>
    <col width="20" customWidth="1" min="4" max="4"/>
    <col width="20" customWidth="1" min="5" max="5"/>
    <col width="20" customWidth="1" min="6" max="6"/>
    <col width="24" customWidth="1" min="7" max="7"/>
  </cols>
  <sheetData>
    <row r="1" ht="8" customHeight="1">
      <c r="A1" s="9" t="n"/>
      <c r="B1" s="10" t="inlineStr">
        <is>
          <t>‹ Dashboard</t>
        </is>
      </c>
      <c r="C1" s="10" t="inlineStr">
        <is>
          <t>‹ Start Here</t>
        </is>
      </c>
      <c r="D1" s="9" t="n"/>
      <c r="E1" s="9" t="n"/>
      <c r="F1" s="9" t="n"/>
      <c r="G1" s="9" t="n"/>
    </row>
    <row r="2" ht="30" customHeight="1">
      <c r="A2" s="9" t="n"/>
      <c r="B2" s="41" t="inlineStr">
        <is>
          <t>WEDDING DAY TIMELINE</t>
        </is>
      </c>
      <c r="C2" s="9" t="n"/>
      <c r="D2" s="9" t="n"/>
      <c r="E2" s="9" t="n"/>
      <c r="F2" s="9" t="n"/>
      <c r="G2" s="9" t="n"/>
    </row>
    <row r="3" ht="20" customHeight="1">
      <c r="A3" s="16" t="n"/>
      <c r="B3" s="42" t="inlineStr">
        <is>
          <t>Minute-by-minute plan for the big day.</t>
        </is>
      </c>
      <c r="C3" s="16" t="n"/>
      <c r="D3" s="16" t="n"/>
      <c r="E3" s="16" t="n"/>
      <c r="F3" s="16" t="n"/>
      <c r="G3" s="16" t="n"/>
    </row>
    <row r="5">
      <c r="B5" s="43" t="inlineStr">
        <is>
          <t>Time</t>
        </is>
      </c>
      <c r="C5" s="43" t="inlineStr">
        <is>
          <t>Event</t>
        </is>
      </c>
      <c r="D5" s="43" t="inlineStr">
        <is>
          <t>Location</t>
        </is>
      </c>
      <c r="E5" s="43" t="inlineStr">
        <is>
          <t>Person Responsible</t>
        </is>
      </c>
      <c r="F5" s="43" t="inlineStr">
        <is>
          <t>Vendor</t>
        </is>
      </c>
      <c r="G5" s="43" t="inlineStr">
        <is>
          <t>Notes</t>
        </is>
      </c>
    </row>
    <row r="6" ht="20" customHeight="1">
      <c r="B6" s="56" t="n">
        <v>0.5833333333333334</v>
      </c>
      <c r="C6" s="45" t="inlineStr">
        <is>
          <t>Hair &amp; Makeup Begins</t>
        </is>
      </c>
      <c r="D6" s="44" t="inlineStr">
        <is>
          <t>Bridal Suite, Silver Oak Estate</t>
        </is>
      </c>
      <c r="E6" s="44" t="inlineStr">
        <is>
          <t>Bloom Beauty Studio</t>
        </is>
      </c>
      <c r="F6" s="44" t="inlineStr">
        <is>
          <t>Bloom Beauty Studio</t>
        </is>
      </c>
      <c r="G6" s="45" t="inlineStr">
        <is>
          <t>Bride and bridesmaids</t>
        </is>
      </c>
    </row>
    <row r="7" ht="20" customHeight="1">
      <c r="B7" s="56" t="n">
        <v>0.6458333333333334</v>
      </c>
      <c r="C7" s="45" t="inlineStr">
        <is>
          <t>First Look &amp; Portraits</t>
        </is>
      </c>
      <c r="D7" s="44" t="inlineStr">
        <is>
          <t>Vineyard Overlook</t>
        </is>
      </c>
      <c r="E7" s="44" t="inlineStr">
        <is>
          <t>Ines Callahan</t>
        </is>
      </c>
      <c r="F7" s="44" t="inlineStr">
        <is>
          <t>Golden Hour Photo Co.</t>
        </is>
      </c>
      <c r="G7" s="45" t="inlineStr"/>
    </row>
    <row r="8" ht="20" customHeight="1">
      <c r="B8" s="56" t="n">
        <v>0.6666666666666666</v>
      </c>
      <c r="C8" s="45" t="inlineStr">
        <is>
          <t>Guests Arrive</t>
        </is>
      </c>
      <c r="D8" s="44" t="inlineStr">
        <is>
          <t>Ceremony Lawn</t>
        </is>
      </c>
      <c r="E8" s="44" t="inlineStr">
        <is>
          <t>Wedding Planner</t>
        </is>
      </c>
      <c r="F8" s="44" t="inlineStr">
        <is>
          <t>Silver Oak Estate</t>
        </is>
      </c>
      <c r="G8" s="45" t="inlineStr"/>
    </row>
    <row r="9" ht="20" customHeight="1">
      <c r="B9" s="56" t="n">
        <v>0.6875</v>
      </c>
      <c r="C9" s="45" t="inlineStr">
        <is>
          <t>Ceremony</t>
        </is>
      </c>
      <c r="D9" s="44" t="inlineStr">
        <is>
          <t>Ceremony Lawn</t>
        </is>
      </c>
      <c r="E9" s="44" t="inlineStr">
        <is>
          <t>Nora Fitzgerald</t>
        </is>
      </c>
      <c r="F9" s="44" t="inlineStr">
        <is>
          <t>N/A</t>
        </is>
      </c>
      <c r="G9" s="45" t="inlineStr">
        <is>
          <t>20-minute ceremony</t>
        </is>
      </c>
    </row>
    <row r="10" ht="20" customHeight="1">
      <c r="B10" s="56" t="n">
        <v>0.7083333333333334</v>
      </c>
      <c r="C10" s="45" t="inlineStr">
        <is>
          <t>Cocktail Hour</t>
        </is>
      </c>
      <c r="D10" s="44" t="inlineStr">
        <is>
          <t>Terrace</t>
        </is>
      </c>
      <c r="E10" s="44" t="inlineStr">
        <is>
          <t>Harvest Table Catering</t>
        </is>
      </c>
      <c r="F10" s="44" t="inlineStr">
        <is>
          <t>Harvest Table Catering</t>
        </is>
      </c>
      <c r="G10" s="45" t="inlineStr">
        <is>
          <t>String quartet plays</t>
        </is>
      </c>
    </row>
    <row r="11" ht="34" customHeight="1">
      <c r="B11" s="56" t="n">
        <v>0.75</v>
      </c>
      <c r="C11" s="45" t="inlineStr">
        <is>
          <t>Reception Entrance &amp; First Dance</t>
        </is>
      </c>
      <c r="D11" s="44" t="inlineStr">
        <is>
          <t>Reception Pavilion</t>
        </is>
      </c>
      <c r="E11" s="44" t="inlineStr">
        <is>
          <t>Devon Okafor</t>
        </is>
      </c>
      <c r="F11" s="44" t="inlineStr">
        <is>
          <t>Skyline Sound Co.</t>
        </is>
      </c>
      <c r="G11" s="45" t="inlineStr"/>
    </row>
    <row r="12" ht="20" customHeight="1">
      <c r="B12" s="56" t="n">
        <v>0.7604166666666666</v>
      </c>
      <c r="C12" s="45" t="inlineStr">
        <is>
          <t>Dinner Service</t>
        </is>
      </c>
      <c r="D12" s="44" t="inlineStr">
        <is>
          <t>Reception Pavilion</t>
        </is>
      </c>
      <c r="E12" s="44" t="inlineStr">
        <is>
          <t>Harvest Table Catering</t>
        </is>
      </c>
      <c r="F12" s="44" t="inlineStr">
        <is>
          <t>Harvest Table Catering</t>
        </is>
      </c>
      <c r="G12" s="45" t="inlineStr">
        <is>
          <t>Plated 3-course dinner</t>
        </is>
      </c>
    </row>
    <row r="13" ht="20" customHeight="1">
      <c r="B13" s="56" t="n">
        <v>0.8125</v>
      </c>
      <c r="C13" s="45" t="inlineStr">
        <is>
          <t>Toasts &amp; Speeches</t>
        </is>
      </c>
      <c r="D13" s="44" t="inlineStr">
        <is>
          <t>Reception Pavilion</t>
        </is>
      </c>
      <c r="E13" s="44" t="inlineStr">
        <is>
          <t>William Foster</t>
        </is>
      </c>
      <c r="F13" s="44" t="inlineStr">
        <is>
          <t>N/A</t>
        </is>
      </c>
      <c r="G13" s="45" t="inlineStr">
        <is>
          <t>Best man &amp; maid of honor</t>
        </is>
      </c>
    </row>
    <row r="14" ht="20" customHeight="1">
      <c r="B14" s="56" t="n">
        <v>0.8333333333333334</v>
      </c>
      <c r="C14" s="45" t="inlineStr">
        <is>
          <t>Cake Cutting</t>
        </is>
      </c>
      <c r="D14" s="44" t="inlineStr">
        <is>
          <t>Reception Pavilion</t>
        </is>
      </c>
      <c r="E14" s="44" t="inlineStr">
        <is>
          <t>Sugar &amp; Sage Bakery</t>
        </is>
      </c>
      <c r="F14" s="44" t="inlineStr">
        <is>
          <t>Sugar &amp; Sage Bakery</t>
        </is>
      </c>
      <c r="G14" s="45" t="inlineStr"/>
    </row>
    <row r="15" ht="20" customHeight="1">
      <c r="B15" s="56" t="n">
        <v>0.84375</v>
      </c>
      <c r="C15" s="45" t="inlineStr">
        <is>
          <t>Open Dancing</t>
        </is>
      </c>
      <c r="D15" s="44" t="inlineStr">
        <is>
          <t>Reception Pavilion</t>
        </is>
      </c>
      <c r="E15" s="44" t="inlineStr">
        <is>
          <t>Devon Okafor</t>
        </is>
      </c>
      <c r="F15" s="44" t="inlineStr">
        <is>
          <t>Skyline Sound Co.</t>
        </is>
      </c>
      <c r="G15" s="45" t="inlineStr"/>
    </row>
    <row r="16" ht="20" customHeight="1">
      <c r="B16" s="56" t="n">
        <v>0.9166666666666666</v>
      </c>
      <c r="C16" s="45" t="inlineStr">
        <is>
          <t>Late Night Snacks</t>
        </is>
      </c>
      <c r="D16" s="44" t="inlineStr">
        <is>
          <t>Reception Pavilion</t>
        </is>
      </c>
      <c r="E16" s="44" t="inlineStr">
        <is>
          <t>Harvest Table Catering</t>
        </is>
      </c>
      <c r="F16" s="44" t="inlineStr">
        <is>
          <t>Harvest Table Catering</t>
        </is>
      </c>
      <c r="G16" s="45" t="inlineStr">
        <is>
          <t>Slider &amp; popcorn station</t>
        </is>
      </c>
    </row>
    <row r="17" ht="20" customHeight="1">
      <c r="B17" s="56" t="n">
        <v>0.9583333333333334</v>
      </c>
      <c r="C17" s="45" t="inlineStr">
        <is>
          <t>Send-Off</t>
        </is>
      </c>
      <c r="D17" s="44" t="inlineStr">
        <is>
          <t>Main Entrance</t>
        </is>
      </c>
      <c r="E17" s="44" t="inlineStr">
        <is>
          <t>Wedding Planner</t>
        </is>
      </c>
      <c r="F17" s="44" t="inlineStr">
        <is>
          <t>Valley Transit Co.</t>
        </is>
      </c>
      <c r="G17" s="45" t="inlineStr">
        <is>
          <t>Sparkler send-off</t>
        </is>
      </c>
    </row>
    <row r="18" ht="20" customHeight="1">
      <c r="B18" s="56" t="n"/>
      <c r="C18" s="45" t="n"/>
      <c r="D18" s="44" t="n"/>
      <c r="E18" s="44" t="n"/>
      <c r="F18" s="44" t="n"/>
      <c r="G18" s="45" t="n"/>
    </row>
    <row r="19" ht="20" customHeight="1">
      <c r="B19" s="56" t="n"/>
      <c r="C19" s="45" t="n"/>
      <c r="D19" s="44" t="n"/>
      <c r="E19" s="44" t="n"/>
      <c r="F19" s="44" t="n"/>
      <c r="G19" s="45" t="n"/>
    </row>
    <row r="20" ht="20" customHeight="1">
      <c r="B20" s="56" t="n"/>
      <c r="C20" s="45" t="n"/>
      <c r="D20" s="44" t="n"/>
      <c r="E20" s="44" t="n"/>
      <c r="F20" s="44" t="n"/>
      <c r="G20" s="45" t="n"/>
    </row>
    <row r="21" ht="20" customHeight="1">
      <c r="B21" s="56" t="n"/>
      <c r="C21" s="45" t="n"/>
      <c r="D21" s="44" t="n"/>
      <c r="E21" s="44" t="n"/>
      <c r="F21" s="44" t="n"/>
      <c r="G21" s="45" t="n"/>
    </row>
  </sheetData>
  <hyperlinks>
    <hyperlink ref="B1" location="'Dashboard'!A1"/>
    <hyperlink ref="C1" location="'START HERE'!A1"/>
  </hyperlinks>
  <pageMargins left="0.4" right="0.4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C98F91"/>
    <outlinePr summaryBelow="1" summaryRight="1"/>
    <pageSetUpPr fitToPage="1"/>
  </sheetPr>
  <dimension ref="A1:M70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2" customWidth="1" min="3" max="3"/>
    <col width="16" customWidth="1" min="4" max="4"/>
    <col width="11" customWidth="1" min="5" max="5"/>
    <col width="16" customWidth="1" min="6" max="6"/>
    <col width="13" customWidth="1" min="7" max="7"/>
    <col width="14" customWidth="1" min="8" max="8"/>
    <col width="22" customWidth="1" min="9" max="9"/>
  </cols>
  <sheetData>
    <row r="1" ht="8" customHeight="1">
      <c r="A1" s="9" t="n"/>
      <c r="B1" s="10" t="inlineStr">
        <is>
          <t>‹ Dashboard</t>
        </is>
      </c>
      <c r="C1" s="10" t="inlineStr">
        <is>
          <t>‹ Start Here</t>
        </is>
      </c>
      <c r="D1" s="9" t="n"/>
      <c r="E1" s="9" t="n"/>
      <c r="F1" s="9" t="n"/>
      <c r="G1" s="9" t="n"/>
      <c r="H1" s="9" t="n"/>
      <c r="I1" s="9" t="n"/>
    </row>
    <row r="2" ht="30" customHeight="1">
      <c r="A2" s="9" t="n"/>
      <c r="B2" s="41" t="inlineStr">
        <is>
          <t>MASTER CHECKLIST</t>
        </is>
      </c>
      <c r="C2" s="9" t="n"/>
      <c r="D2" s="9" t="n"/>
      <c r="E2" s="9" t="n"/>
      <c r="F2" s="9" t="n"/>
      <c r="G2" s="9" t="n"/>
      <c r="H2" s="9" t="n"/>
      <c r="I2" s="9" t="n"/>
    </row>
    <row r="3" ht="20" customHeight="1">
      <c r="A3" s="16" t="n"/>
      <c r="B3" s="42" t="inlineStr">
        <is>
          <t>Every planning task, organized by timeline.</t>
        </is>
      </c>
      <c r="C3" s="16" t="n"/>
      <c r="D3" s="16" t="n"/>
      <c r="E3" s="16" t="n"/>
      <c r="F3" s="16" t="n"/>
      <c r="G3" s="16" t="n"/>
      <c r="H3" s="16" t="n"/>
      <c r="I3" s="16" t="n"/>
    </row>
    <row r="5">
      <c r="B5" s="43" t="inlineStr">
        <is>
          <t>Period</t>
        </is>
      </c>
      <c r="C5" s="43" t="inlineStr">
        <is>
          <t>Task</t>
        </is>
      </c>
      <c r="D5" s="43" t="inlineStr">
        <is>
          <t>Category</t>
        </is>
      </c>
      <c r="E5" s="43" t="inlineStr">
        <is>
          <t>Priority</t>
        </is>
      </c>
      <c r="F5" s="43" t="inlineStr">
        <is>
          <t>Owner</t>
        </is>
      </c>
      <c r="G5" s="43" t="inlineStr">
        <is>
          <t>Due Date</t>
        </is>
      </c>
      <c r="H5" s="43" t="inlineStr">
        <is>
          <t>Status</t>
        </is>
      </c>
      <c r="I5" s="43" t="inlineStr">
        <is>
          <t>Notes</t>
        </is>
      </c>
    </row>
    <row r="6" ht="20" customHeight="1">
      <c r="B6" s="44" t="inlineStr">
        <is>
          <t>12+ Months Before</t>
        </is>
      </c>
      <c r="C6" s="45" t="inlineStr">
        <is>
          <t>Set overall wedding budget</t>
        </is>
      </c>
      <c r="D6" s="44" t="inlineStr">
        <is>
          <t>Planning</t>
        </is>
      </c>
      <c r="E6" s="48" t="inlineStr">
        <is>
          <t>High</t>
        </is>
      </c>
      <c r="F6" s="48" t="inlineStr">
        <is>
          <t>Both</t>
        </is>
      </c>
      <c r="G6" s="47" t="inlineStr">
        <is>
          <t>2026-05-01</t>
        </is>
      </c>
      <c r="H6" s="48" t="inlineStr">
        <is>
          <t>Completed</t>
        </is>
      </c>
      <c r="I6" s="45" t="inlineStr"/>
    </row>
    <row r="7" ht="20" customHeight="1">
      <c r="B7" s="44" t="inlineStr">
        <is>
          <t>12+ Months Before</t>
        </is>
      </c>
      <c r="C7" s="45" t="inlineStr">
        <is>
          <t>Create guest list draft</t>
        </is>
      </c>
      <c r="D7" s="44" t="inlineStr">
        <is>
          <t>Planning</t>
        </is>
      </c>
      <c r="E7" s="48" t="inlineStr">
        <is>
          <t>High</t>
        </is>
      </c>
      <c r="F7" s="48" t="inlineStr">
        <is>
          <t>Both</t>
        </is>
      </c>
      <c r="G7" s="47" t="inlineStr">
        <is>
          <t>2026-05-15</t>
        </is>
      </c>
      <c r="H7" s="48" t="inlineStr">
        <is>
          <t>Completed</t>
        </is>
      </c>
      <c r="I7" s="45" t="inlineStr"/>
    </row>
    <row r="8" ht="20" customHeight="1">
      <c r="B8" s="44" t="inlineStr">
        <is>
          <t>12+ Months Before</t>
        </is>
      </c>
      <c r="C8" s="45" t="inlineStr">
        <is>
          <t>Book venue</t>
        </is>
      </c>
      <c r="D8" s="44" t="inlineStr">
        <is>
          <t>Venue</t>
        </is>
      </c>
      <c r="E8" s="48" t="inlineStr">
        <is>
          <t>High</t>
        </is>
      </c>
      <c r="F8" s="48" t="inlineStr">
        <is>
          <t>Partner 1</t>
        </is>
      </c>
      <c r="G8" s="47" t="inlineStr">
        <is>
          <t>2026-06-01</t>
        </is>
      </c>
      <c r="H8" s="48" t="inlineStr">
        <is>
          <t>Completed</t>
        </is>
      </c>
      <c r="I8" s="45" t="inlineStr"/>
    </row>
    <row r="9" ht="20" customHeight="1">
      <c r="B9" s="44" t="inlineStr">
        <is>
          <t>12+ Months Before</t>
        </is>
      </c>
      <c r="C9" s="45" t="inlineStr">
        <is>
          <t>Hire wedding planner</t>
        </is>
      </c>
      <c r="D9" s="44" t="inlineStr">
        <is>
          <t>Planning</t>
        </is>
      </c>
      <c r="E9" s="48" t="inlineStr">
        <is>
          <t>Medium</t>
        </is>
      </c>
      <c r="F9" s="48" t="inlineStr">
        <is>
          <t>Both</t>
        </is>
      </c>
      <c r="G9" s="47" t="inlineStr">
        <is>
          <t>2026-06-15</t>
        </is>
      </c>
      <c r="H9" s="48" t="inlineStr">
        <is>
          <t>Completed</t>
        </is>
      </c>
      <c r="I9" s="45" t="inlineStr"/>
    </row>
    <row r="10" ht="20" customHeight="1">
      <c r="B10" s="44" t="inlineStr">
        <is>
          <t>12+ Months Before</t>
        </is>
      </c>
      <c r="C10" s="45" t="inlineStr">
        <is>
          <t>Research photographers</t>
        </is>
      </c>
      <c r="D10" s="44" t="inlineStr">
        <is>
          <t>Photography</t>
        </is>
      </c>
      <c r="E10" s="48" t="inlineStr">
        <is>
          <t>Medium</t>
        </is>
      </c>
      <c r="F10" s="48" t="inlineStr">
        <is>
          <t>Partner 2</t>
        </is>
      </c>
      <c r="G10" s="47" t="inlineStr">
        <is>
          <t>2026-07-01</t>
        </is>
      </c>
      <c r="H10" s="48" t="inlineStr">
        <is>
          <t>Completed</t>
        </is>
      </c>
      <c r="I10" s="45" t="inlineStr"/>
    </row>
    <row r="11" ht="20" customHeight="1">
      <c r="B11" s="44" t="inlineStr">
        <is>
          <t>9-12 Months Before</t>
        </is>
      </c>
      <c r="C11" s="45" t="inlineStr">
        <is>
          <t>Book photographer</t>
        </is>
      </c>
      <c r="D11" s="44" t="inlineStr">
        <is>
          <t>Photography</t>
        </is>
      </c>
      <c r="E11" s="48" t="inlineStr">
        <is>
          <t>High</t>
        </is>
      </c>
      <c r="F11" s="48" t="inlineStr">
        <is>
          <t>Partner 2</t>
        </is>
      </c>
      <c r="G11" s="47" t="inlineStr">
        <is>
          <t>2026-08-01</t>
        </is>
      </c>
      <c r="H11" s="48" t="inlineStr">
        <is>
          <t>Completed</t>
        </is>
      </c>
      <c r="I11" s="45" t="inlineStr"/>
    </row>
    <row r="12" ht="20" customHeight="1">
      <c r="B12" s="44" t="inlineStr">
        <is>
          <t>9-12 Months Before</t>
        </is>
      </c>
      <c r="C12" s="45" t="inlineStr">
        <is>
          <t>Book videographer</t>
        </is>
      </c>
      <c r="D12" s="44" t="inlineStr">
        <is>
          <t>Videography</t>
        </is>
      </c>
      <c r="E12" s="48" t="inlineStr">
        <is>
          <t>Medium</t>
        </is>
      </c>
      <c r="F12" s="48" t="inlineStr">
        <is>
          <t>Partner 2</t>
        </is>
      </c>
      <c r="G12" s="47" t="inlineStr">
        <is>
          <t>2026-08-15</t>
        </is>
      </c>
      <c r="H12" s="48" t="inlineStr">
        <is>
          <t>Completed</t>
        </is>
      </c>
      <c r="I12" s="45" t="inlineStr"/>
    </row>
    <row r="13" ht="20" customHeight="1">
      <c r="B13" s="44" t="inlineStr">
        <is>
          <t>9-12 Months Before</t>
        </is>
      </c>
      <c r="C13" s="45" t="inlineStr">
        <is>
          <t>Book caterer</t>
        </is>
      </c>
      <c r="D13" s="44" t="inlineStr">
        <is>
          <t>Catering</t>
        </is>
      </c>
      <c r="E13" s="48" t="inlineStr">
        <is>
          <t>High</t>
        </is>
      </c>
      <c r="F13" s="48" t="inlineStr">
        <is>
          <t>Both</t>
        </is>
      </c>
      <c r="G13" s="47" t="inlineStr">
        <is>
          <t>2026-09-01</t>
        </is>
      </c>
      <c r="H13" s="48" t="inlineStr">
        <is>
          <t>Completed</t>
        </is>
      </c>
      <c r="I13" s="45" t="inlineStr"/>
    </row>
    <row r="14" ht="20" customHeight="1">
      <c r="B14" s="44" t="inlineStr">
        <is>
          <t>9-12 Months Before</t>
        </is>
      </c>
      <c r="C14" s="45" t="inlineStr">
        <is>
          <t>Send save-the-dates</t>
        </is>
      </c>
      <c r="D14" s="44" t="inlineStr">
        <is>
          <t>Stationery</t>
        </is>
      </c>
      <c r="E14" s="48" t="inlineStr">
        <is>
          <t>High</t>
        </is>
      </c>
      <c r="F14" s="48" t="inlineStr">
        <is>
          <t>Both</t>
        </is>
      </c>
      <c r="G14" s="47" t="inlineStr">
        <is>
          <t>2026-09-15</t>
        </is>
      </c>
      <c r="H14" s="48" t="inlineStr">
        <is>
          <t>Completed</t>
        </is>
      </c>
      <c r="I14" s="45" t="inlineStr"/>
    </row>
    <row r="15" ht="20" customHeight="1">
      <c r="B15" s="44" t="inlineStr">
        <is>
          <t>9-12 Months Before</t>
        </is>
      </c>
      <c r="C15" s="45" t="inlineStr">
        <is>
          <t>Choose wedding party</t>
        </is>
      </c>
      <c r="D15" s="44" t="inlineStr">
        <is>
          <t>Wedding Party</t>
        </is>
      </c>
      <c r="E15" s="48" t="inlineStr">
        <is>
          <t>Medium</t>
        </is>
      </c>
      <c r="F15" s="48" t="inlineStr">
        <is>
          <t>Both</t>
        </is>
      </c>
      <c r="G15" s="47" t="inlineStr">
        <is>
          <t>2026-09-01</t>
        </is>
      </c>
      <c r="H15" s="48" t="inlineStr">
        <is>
          <t>Completed</t>
        </is>
      </c>
      <c r="I15" s="45" t="inlineStr"/>
    </row>
    <row r="16" ht="20" customHeight="1">
      <c r="B16" s="44" t="inlineStr">
        <is>
          <t>9-12 Months Before</t>
        </is>
      </c>
      <c r="C16" s="45" t="inlineStr">
        <is>
          <t>Book entertainment / DJ</t>
        </is>
      </c>
      <c r="D16" s="44" t="inlineStr">
        <is>
          <t>Entertainment</t>
        </is>
      </c>
      <c r="E16" s="48" t="inlineStr">
        <is>
          <t>Medium</t>
        </is>
      </c>
      <c r="F16" s="48" t="inlineStr">
        <is>
          <t>Partner 1</t>
        </is>
      </c>
      <c r="G16" s="47" t="inlineStr">
        <is>
          <t>2026-10-01</t>
        </is>
      </c>
      <c r="H16" s="48" t="inlineStr">
        <is>
          <t>Completed</t>
        </is>
      </c>
      <c r="I16" s="45" t="inlineStr"/>
    </row>
    <row r="17" ht="20" customHeight="1">
      <c r="B17" s="44" t="inlineStr">
        <is>
          <t>6-9 Months Before</t>
        </is>
      </c>
      <c r="C17" s="45" t="inlineStr">
        <is>
          <t>Shop for wedding dress</t>
        </is>
      </c>
      <c r="D17" s="44" t="inlineStr">
        <is>
          <t>Attire</t>
        </is>
      </c>
      <c r="E17" s="48" t="inlineStr">
        <is>
          <t>High</t>
        </is>
      </c>
      <c r="F17" s="48" t="inlineStr">
        <is>
          <t>Partner 1</t>
        </is>
      </c>
      <c r="G17" s="47" t="inlineStr">
        <is>
          <t>2026-10-15</t>
        </is>
      </c>
      <c r="H17" s="48" t="inlineStr">
        <is>
          <t>Completed</t>
        </is>
      </c>
      <c r="I17" s="45" t="inlineStr"/>
    </row>
    <row r="18" ht="20" customHeight="1">
      <c r="B18" s="44" t="inlineStr">
        <is>
          <t>6-9 Months Before</t>
        </is>
      </c>
      <c r="C18" s="45" t="inlineStr">
        <is>
          <t>Shop for suit</t>
        </is>
      </c>
      <c r="D18" s="44" t="inlineStr">
        <is>
          <t>Attire</t>
        </is>
      </c>
      <c r="E18" s="48" t="inlineStr">
        <is>
          <t>Medium</t>
        </is>
      </c>
      <c r="F18" s="48" t="inlineStr">
        <is>
          <t>Partner 2</t>
        </is>
      </c>
      <c r="G18" s="47" t="inlineStr">
        <is>
          <t>2026-10-15</t>
        </is>
      </c>
      <c r="H18" s="48" t="inlineStr">
        <is>
          <t>Completed</t>
        </is>
      </c>
      <c r="I18" s="45" t="inlineStr"/>
    </row>
    <row r="19" ht="20" customHeight="1">
      <c r="B19" s="44" t="inlineStr">
        <is>
          <t>6-9 Months Before</t>
        </is>
      </c>
      <c r="C19" s="45" t="inlineStr">
        <is>
          <t>Book florist</t>
        </is>
      </c>
      <c r="D19" s="44" t="inlineStr">
        <is>
          <t>Flowers</t>
        </is>
      </c>
      <c r="E19" s="48" t="inlineStr">
        <is>
          <t>High</t>
        </is>
      </c>
      <c r="F19" s="48" t="inlineStr">
        <is>
          <t>Both</t>
        </is>
      </c>
      <c r="G19" s="47" t="inlineStr">
        <is>
          <t>2026-11-01</t>
        </is>
      </c>
      <c r="H19" s="48" t="inlineStr">
        <is>
          <t>Completed</t>
        </is>
      </c>
      <c r="I19" s="45" t="inlineStr"/>
    </row>
    <row r="20" ht="20" customHeight="1">
      <c r="B20" s="44" t="inlineStr">
        <is>
          <t>6-9 Months Before</t>
        </is>
      </c>
      <c r="C20" s="45" t="inlineStr">
        <is>
          <t>Book hair &amp; makeup artist</t>
        </is>
      </c>
      <c r="D20" s="44" t="inlineStr">
        <is>
          <t>Beauty</t>
        </is>
      </c>
      <c r="E20" s="48" t="inlineStr">
        <is>
          <t>Medium</t>
        </is>
      </c>
      <c r="F20" s="48" t="inlineStr">
        <is>
          <t>Partner 1</t>
        </is>
      </c>
      <c r="G20" s="47" t="inlineStr">
        <is>
          <t>2026-11-15</t>
        </is>
      </c>
      <c r="H20" s="48" t="inlineStr">
        <is>
          <t>Completed</t>
        </is>
      </c>
      <c r="I20" s="45" t="inlineStr"/>
    </row>
    <row r="21" ht="20" customHeight="1">
      <c r="B21" s="44" t="inlineStr">
        <is>
          <t>6-9 Months Before</t>
        </is>
      </c>
      <c r="C21" s="45" t="inlineStr">
        <is>
          <t>Plan honeymoon</t>
        </is>
      </c>
      <c r="D21" s="44" t="inlineStr">
        <is>
          <t>Honeymoon</t>
        </is>
      </c>
      <c r="E21" s="48" t="inlineStr">
        <is>
          <t>Medium</t>
        </is>
      </c>
      <c r="F21" s="48" t="inlineStr">
        <is>
          <t>Both</t>
        </is>
      </c>
      <c r="G21" s="47" t="inlineStr">
        <is>
          <t>2026-12-01</t>
        </is>
      </c>
      <c r="H21" s="48" t="inlineStr">
        <is>
          <t>Completed</t>
        </is>
      </c>
      <c r="I21" s="45" t="inlineStr"/>
    </row>
    <row r="22" ht="20" customHeight="1">
      <c r="B22" s="44" t="inlineStr">
        <is>
          <t>6-9 Months Before</t>
        </is>
      </c>
      <c r="C22" s="45" t="inlineStr">
        <is>
          <t>Book accommodation block</t>
        </is>
      </c>
      <c r="D22" s="44" t="inlineStr">
        <is>
          <t>Accommodation</t>
        </is>
      </c>
      <c r="E22" s="48" t="inlineStr">
        <is>
          <t>Low</t>
        </is>
      </c>
      <c r="F22" s="48" t="inlineStr">
        <is>
          <t>Partner 1</t>
        </is>
      </c>
      <c r="G22" s="47" t="inlineStr">
        <is>
          <t>2026-12-01</t>
        </is>
      </c>
      <c r="H22" s="48" t="inlineStr">
        <is>
          <t>Completed</t>
        </is>
      </c>
      <c r="I22" s="45" t="inlineStr"/>
    </row>
    <row r="23" ht="20" customHeight="1">
      <c r="B23" s="44" t="inlineStr">
        <is>
          <t>3-6 Months Before</t>
        </is>
      </c>
      <c r="C23" s="45" t="inlineStr">
        <is>
          <t>Order invitations</t>
        </is>
      </c>
      <c r="D23" s="44" t="inlineStr">
        <is>
          <t>Stationery</t>
        </is>
      </c>
      <c r="E23" s="48" t="inlineStr">
        <is>
          <t>High</t>
        </is>
      </c>
      <c r="F23" s="48" t="inlineStr">
        <is>
          <t>Both</t>
        </is>
      </c>
      <c r="G23" s="47" t="inlineStr">
        <is>
          <t>2027-01-10</t>
        </is>
      </c>
      <c r="H23" s="48" t="inlineStr">
        <is>
          <t>Completed</t>
        </is>
      </c>
      <c r="I23" s="45" t="inlineStr"/>
    </row>
    <row r="24" ht="20" customHeight="1">
      <c r="B24" s="44" t="inlineStr">
        <is>
          <t>3-6 Months Before</t>
        </is>
      </c>
      <c r="C24" s="45" t="inlineStr">
        <is>
          <t>Book transportation</t>
        </is>
      </c>
      <c r="D24" s="44" t="inlineStr">
        <is>
          <t>Transportation</t>
        </is>
      </c>
      <c r="E24" s="48" t="inlineStr">
        <is>
          <t>Medium</t>
        </is>
      </c>
      <c r="F24" s="48" t="inlineStr">
        <is>
          <t>Partner 2</t>
        </is>
      </c>
      <c r="G24" s="47" t="inlineStr">
        <is>
          <t>2027-01-20</t>
        </is>
      </c>
      <c r="H24" s="48" t="inlineStr">
        <is>
          <t>Completed</t>
        </is>
      </c>
      <c r="I24" s="45" t="inlineStr"/>
    </row>
    <row r="25" ht="20" customHeight="1">
      <c r="B25" s="44" t="inlineStr">
        <is>
          <t>3-6 Months Before</t>
        </is>
      </c>
      <c r="C25" s="45" t="inlineStr">
        <is>
          <t>Finalize menu with caterer</t>
        </is>
      </c>
      <c r="D25" s="44" t="inlineStr">
        <is>
          <t>Catering</t>
        </is>
      </c>
      <c r="E25" s="48" t="inlineStr">
        <is>
          <t>High</t>
        </is>
      </c>
      <c r="F25" s="48" t="inlineStr">
        <is>
          <t>Both</t>
        </is>
      </c>
      <c r="G25" s="47" t="inlineStr">
        <is>
          <t>2027-02-01</t>
        </is>
      </c>
      <c r="H25" s="48" t="inlineStr">
        <is>
          <t>Completed</t>
        </is>
      </c>
      <c r="I25" s="45" t="inlineStr"/>
    </row>
    <row r="26" ht="20" customHeight="1">
      <c r="B26" s="44" t="inlineStr">
        <is>
          <t>3-6 Months Before</t>
        </is>
      </c>
      <c r="C26" s="45" t="inlineStr">
        <is>
          <t>Order wedding cake</t>
        </is>
      </c>
      <c r="D26" s="44" t="inlineStr">
        <is>
          <t>Cake</t>
        </is>
      </c>
      <c r="E26" s="48" t="inlineStr">
        <is>
          <t>Medium</t>
        </is>
      </c>
      <c r="F26" s="48" t="inlineStr">
        <is>
          <t>Partner 1</t>
        </is>
      </c>
      <c r="G26" s="47" t="inlineStr">
        <is>
          <t>2027-02-15</t>
        </is>
      </c>
      <c r="H26" s="48" t="inlineStr">
        <is>
          <t>Completed</t>
        </is>
      </c>
      <c r="I26" s="45" t="inlineStr"/>
    </row>
    <row r="27" ht="20" customHeight="1">
      <c r="B27" s="44" t="inlineStr">
        <is>
          <t>3-6 Months Before</t>
        </is>
      </c>
      <c r="C27" s="45" t="inlineStr">
        <is>
          <t>Purchase wedding rings</t>
        </is>
      </c>
      <c r="D27" s="44" t="inlineStr">
        <is>
          <t>Rings</t>
        </is>
      </c>
      <c r="E27" s="48" t="inlineStr">
        <is>
          <t>High</t>
        </is>
      </c>
      <c r="F27" s="48" t="inlineStr">
        <is>
          <t>Partner 2</t>
        </is>
      </c>
      <c r="G27" s="47" t="inlineStr">
        <is>
          <t>2027-01-01</t>
        </is>
      </c>
      <c r="H27" s="48" t="inlineStr">
        <is>
          <t>Completed</t>
        </is>
      </c>
      <c r="I27" s="45" t="inlineStr"/>
    </row>
    <row r="28" ht="20" customHeight="1">
      <c r="B28" s="44" t="inlineStr">
        <is>
          <t>3-6 Months Before</t>
        </is>
      </c>
      <c r="C28" s="45" t="inlineStr">
        <is>
          <t>Book rentals (tables, chairs)</t>
        </is>
      </c>
      <c r="D28" s="44" t="inlineStr">
        <is>
          <t>Rentals</t>
        </is>
      </c>
      <c r="E28" s="48" t="inlineStr">
        <is>
          <t>Medium</t>
        </is>
      </c>
      <c r="F28" s="48" t="inlineStr">
        <is>
          <t>Wedding Planner</t>
        </is>
      </c>
      <c r="G28" s="47" t="inlineStr">
        <is>
          <t>2027-02-20</t>
        </is>
      </c>
      <c r="H28" s="48" t="inlineStr">
        <is>
          <t>In Progress</t>
        </is>
      </c>
      <c r="I28" s="45" t="inlineStr"/>
    </row>
    <row r="29" ht="20" customHeight="1">
      <c r="B29" s="44" t="inlineStr">
        <is>
          <t>3-6 Months Before</t>
        </is>
      </c>
      <c r="C29" s="45" t="inlineStr">
        <is>
          <t>Schedule dress fittings</t>
        </is>
      </c>
      <c r="D29" s="44" t="inlineStr">
        <is>
          <t>Attire</t>
        </is>
      </c>
      <c r="E29" s="48" t="inlineStr">
        <is>
          <t>Medium</t>
        </is>
      </c>
      <c r="F29" s="48" t="inlineStr">
        <is>
          <t>Partner 1</t>
        </is>
      </c>
      <c r="G29" s="47" t="inlineStr">
        <is>
          <t>2027-03-01</t>
        </is>
      </c>
      <c r="H29" s="48" t="inlineStr">
        <is>
          <t>In Progress</t>
        </is>
      </c>
      <c r="I29" s="45" t="inlineStr"/>
    </row>
    <row r="30" ht="20" customHeight="1">
      <c r="B30" s="44" t="inlineStr">
        <is>
          <t>1-3 Months Before</t>
        </is>
      </c>
      <c r="C30" s="45" t="inlineStr">
        <is>
          <t>Mail invitations</t>
        </is>
      </c>
      <c r="D30" s="44" t="inlineStr">
        <is>
          <t>Stationery</t>
        </is>
      </c>
      <c r="E30" s="48" t="inlineStr">
        <is>
          <t>High</t>
        </is>
      </c>
      <c r="F30" s="48" t="inlineStr">
        <is>
          <t>Both</t>
        </is>
      </c>
      <c r="G30" s="47" t="inlineStr">
        <is>
          <t>2027-03-15</t>
        </is>
      </c>
      <c r="H30" s="48" t="inlineStr">
        <is>
          <t>In Progress</t>
        </is>
      </c>
      <c r="I30" s="45" t="inlineStr"/>
    </row>
    <row r="31" ht="20" customHeight="1">
      <c r="B31" s="44" t="inlineStr">
        <is>
          <t>1-3 Months Before</t>
        </is>
      </c>
      <c r="C31" s="45" t="inlineStr">
        <is>
          <t>Finalize seating chart draft</t>
        </is>
      </c>
      <c r="D31" s="44" t="inlineStr">
        <is>
          <t>Seating</t>
        </is>
      </c>
      <c r="E31" s="48" t="inlineStr">
        <is>
          <t>Medium</t>
        </is>
      </c>
      <c r="F31" s="48" t="inlineStr">
        <is>
          <t>Both</t>
        </is>
      </c>
      <c r="G31" s="47" t="inlineStr">
        <is>
          <t>2027-04-01</t>
        </is>
      </c>
      <c r="H31" s="48" t="inlineStr">
        <is>
          <t>Not Started</t>
        </is>
      </c>
      <c r="I31" s="45" t="inlineStr"/>
    </row>
    <row r="32" ht="20" customHeight="1">
      <c r="B32" s="44" t="inlineStr">
        <is>
          <t>1-3 Months Before</t>
        </is>
      </c>
      <c r="C32" s="45" t="inlineStr">
        <is>
          <t>Confirm all vendor contracts</t>
        </is>
      </c>
      <c r="D32" s="44" t="inlineStr">
        <is>
          <t>Vendors</t>
        </is>
      </c>
      <c r="E32" s="48" t="inlineStr">
        <is>
          <t>High</t>
        </is>
      </c>
      <c r="F32" s="48" t="inlineStr">
        <is>
          <t>Wedding Planner</t>
        </is>
      </c>
      <c r="G32" s="47" t="inlineStr">
        <is>
          <t>2027-04-01</t>
        </is>
      </c>
      <c r="H32" s="48" t="inlineStr">
        <is>
          <t>Not Started</t>
        </is>
      </c>
      <c r="I32" s="45" t="inlineStr"/>
    </row>
    <row r="33" ht="20" customHeight="1">
      <c r="B33" s="44" t="inlineStr">
        <is>
          <t>1-3 Months Before</t>
        </is>
      </c>
      <c r="C33" s="45" t="inlineStr">
        <is>
          <t>Purchase wedding party gifts</t>
        </is>
      </c>
      <c r="D33" s="44" t="inlineStr">
        <is>
          <t>Gifts</t>
        </is>
      </c>
      <c r="E33" s="48" t="inlineStr">
        <is>
          <t>Low</t>
        </is>
      </c>
      <c r="F33" s="48" t="inlineStr">
        <is>
          <t>Both</t>
        </is>
      </c>
      <c r="G33" s="47" t="inlineStr">
        <is>
          <t>2027-05-01</t>
        </is>
      </c>
      <c r="H33" s="48" t="inlineStr">
        <is>
          <t>Not Started</t>
        </is>
      </c>
      <c r="I33" s="45" t="inlineStr"/>
    </row>
    <row r="34" ht="20" customHeight="1">
      <c r="B34" s="44" t="inlineStr">
        <is>
          <t>1-3 Months Before</t>
        </is>
      </c>
      <c r="C34" s="45" t="inlineStr">
        <is>
          <t>Apply for marriage license</t>
        </is>
      </c>
      <c r="D34" s="44" t="inlineStr">
        <is>
          <t>Legal</t>
        </is>
      </c>
      <c r="E34" s="48" t="inlineStr">
        <is>
          <t>High</t>
        </is>
      </c>
      <c r="F34" s="48" t="inlineStr">
        <is>
          <t>Both</t>
        </is>
      </c>
      <c r="G34" s="47" t="inlineStr">
        <is>
          <t>2027-05-15</t>
        </is>
      </c>
      <c r="H34" s="48" t="inlineStr">
        <is>
          <t>Not Started</t>
        </is>
      </c>
      <c r="I34" s="45" t="inlineStr"/>
    </row>
    <row r="35" ht="20" customHeight="1">
      <c r="B35" s="44" t="inlineStr">
        <is>
          <t>1-3 Months Before</t>
        </is>
      </c>
      <c r="C35" s="45" t="inlineStr">
        <is>
          <t>Book hair &amp; makeup trial</t>
        </is>
      </c>
      <c r="D35" s="44" t="inlineStr">
        <is>
          <t>Beauty</t>
        </is>
      </c>
      <c r="E35" s="48" t="inlineStr">
        <is>
          <t>Medium</t>
        </is>
      </c>
      <c r="F35" s="48" t="inlineStr">
        <is>
          <t>Partner 1</t>
        </is>
      </c>
      <c r="G35" s="47" t="inlineStr">
        <is>
          <t>2027-04-15</t>
        </is>
      </c>
      <c r="H35" s="48" t="inlineStr">
        <is>
          <t>Not Started</t>
        </is>
      </c>
      <c r="I35" s="45" t="inlineStr"/>
    </row>
    <row r="36" ht="20" customHeight="1">
      <c r="B36" s="44" t="inlineStr">
        <is>
          <t>Final Month</t>
        </is>
      </c>
      <c r="C36" s="45" t="inlineStr">
        <is>
          <t>Final dress fitting</t>
        </is>
      </c>
      <c r="D36" s="44" t="inlineStr">
        <is>
          <t>Attire</t>
        </is>
      </c>
      <c r="E36" s="48" t="inlineStr">
        <is>
          <t>High</t>
        </is>
      </c>
      <c r="F36" s="48" t="inlineStr">
        <is>
          <t>Partner 1</t>
        </is>
      </c>
      <c r="G36" s="47" t="inlineStr">
        <is>
          <t>2027-05-20</t>
        </is>
      </c>
      <c r="H36" s="48" t="inlineStr">
        <is>
          <t>Not Started</t>
        </is>
      </c>
      <c r="I36" s="45" t="inlineStr"/>
    </row>
    <row r="37" ht="34" customHeight="1">
      <c r="B37" s="44" t="inlineStr">
        <is>
          <t>Final Month</t>
        </is>
      </c>
      <c r="C37" s="45" t="inlineStr">
        <is>
          <t>Confirm final guest count with caterer</t>
        </is>
      </c>
      <c r="D37" s="44" t="inlineStr">
        <is>
          <t>Catering</t>
        </is>
      </c>
      <c r="E37" s="48" t="inlineStr">
        <is>
          <t>High</t>
        </is>
      </c>
      <c r="F37" s="48" t="inlineStr">
        <is>
          <t>Both</t>
        </is>
      </c>
      <c r="G37" s="47" t="inlineStr">
        <is>
          <t>2027-05-25</t>
        </is>
      </c>
      <c r="H37" s="48" t="inlineStr">
        <is>
          <t>Not Started</t>
        </is>
      </c>
      <c r="I37" s="45" t="inlineStr"/>
    </row>
    <row r="38" ht="20" customHeight="1">
      <c r="B38" s="44" t="inlineStr">
        <is>
          <t>Final Month</t>
        </is>
      </c>
      <c r="C38" s="45" t="inlineStr">
        <is>
          <t>Finalize seating chart</t>
        </is>
      </c>
      <c r="D38" s="44" t="inlineStr">
        <is>
          <t>Seating</t>
        </is>
      </c>
      <c r="E38" s="48" t="inlineStr">
        <is>
          <t>High</t>
        </is>
      </c>
      <c r="F38" s="48" t="inlineStr">
        <is>
          <t>Both</t>
        </is>
      </c>
      <c r="G38" s="47" t="inlineStr">
        <is>
          <t>2027-05-28</t>
        </is>
      </c>
      <c r="H38" s="48" t="inlineStr">
        <is>
          <t>Not Started</t>
        </is>
      </c>
      <c r="I38" s="45" t="inlineStr"/>
    </row>
    <row r="39" ht="20" customHeight="1">
      <c r="B39" s="44" t="inlineStr">
        <is>
          <t>Final Month</t>
        </is>
      </c>
      <c r="C39" s="45" t="inlineStr">
        <is>
          <t>Confirm timeline with vendors</t>
        </is>
      </c>
      <c r="D39" s="44" t="inlineStr">
        <is>
          <t>Vendors</t>
        </is>
      </c>
      <c r="E39" s="48" t="inlineStr">
        <is>
          <t>High</t>
        </is>
      </c>
      <c r="F39" s="48" t="inlineStr">
        <is>
          <t>Wedding Planner</t>
        </is>
      </c>
      <c r="G39" s="47" t="inlineStr">
        <is>
          <t>2027-06-01</t>
        </is>
      </c>
      <c r="H39" s="48" t="inlineStr">
        <is>
          <t>Not Started</t>
        </is>
      </c>
      <c r="I39" s="45" t="inlineStr"/>
    </row>
    <row r="40" ht="20" customHeight="1">
      <c r="B40" s="44" t="inlineStr">
        <is>
          <t>Final Month</t>
        </is>
      </c>
      <c r="C40" s="45" t="inlineStr">
        <is>
          <t>Pick up rings</t>
        </is>
      </c>
      <c r="D40" s="44" t="inlineStr">
        <is>
          <t>Rings</t>
        </is>
      </c>
      <c r="E40" s="48" t="inlineStr">
        <is>
          <t>Medium</t>
        </is>
      </c>
      <c r="F40" s="48" t="inlineStr">
        <is>
          <t>Partner 2</t>
        </is>
      </c>
      <c r="G40" s="47" t="inlineStr">
        <is>
          <t>2027-06-05</t>
        </is>
      </c>
      <c r="H40" s="48" t="inlineStr">
        <is>
          <t>Not Started</t>
        </is>
      </c>
      <c r="I40" s="45" t="inlineStr"/>
    </row>
    <row r="41" ht="20" customHeight="1">
      <c r="B41" s="44" t="inlineStr">
        <is>
          <t>Final Month</t>
        </is>
      </c>
      <c r="C41" s="45" t="inlineStr">
        <is>
          <t>Pack for honeymoon</t>
        </is>
      </c>
      <c r="D41" s="44" t="inlineStr">
        <is>
          <t>Honeymoon</t>
        </is>
      </c>
      <c r="E41" s="48" t="inlineStr">
        <is>
          <t>Low</t>
        </is>
      </c>
      <c r="F41" s="48" t="inlineStr">
        <is>
          <t>Both</t>
        </is>
      </c>
      <c r="G41" s="47" t="inlineStr">
        <is>
          <t>2027-06-10</t>
        </is>
      </c>
      <c r="H41" s="48" t="inlineStr">
        <is>
          <t>Not Started</t>
        </is>
      </c>
      <c r="I41" s="45" t="inlineStr"/>
    </row>
    <row r="42" ht="20" customHeight="1">
      <c r="B42" s="44" t="inlineStr">
        <is>
          <t>Wedding Week</t>
        </is>
      </c>
      <c r="C42" s="45" t="inlineStr">
        <is>
          <t>Rehearsal dinner</t>
        </is>
      </c>
      <c r="D42" s="44" t="inlineStr">
        <is>
          <t>Events</t>
        </is>
      </c>
      <c r="E42" s="48" t="inlineStr">
        <is>
          <t>High</t>
        </is>
      </c>
      <c r="F42" s="48" t="inlineStr">
        <is>
          <t>Both</t>
        </is>
      </c>
      <c r="G42" s="47" t="inlineStr">
        <is>
          <t>2027-06-13</t>
        </is>
      </c>
      <c r="H42" s="48" t="inlineStr">
        <is>
          <t>Not Started</t>
        </is>
      </c>
      <c r="I42" s="45" t="inlineStr"/>
    </row>
    <row r="43" ht="20" customHeight="1">
      <c r="B43" s="44" t="inlineStr">
        <is>
          <t>Wedding Week</t>
        </is>
      </c>
      <c r="C43" s="45" t="inlineStr">
        <is>
          <t>Deliver final payments to vendors</t>
        </is>
      </c>
      <c r="D43" s="44" t="inlineStr">
        <is>
          <t>Payments</t>
        </is>
      </c>
      <c r="E43" s="48" t="inlineStr">
        <is>
          <t>High</t>
        </is>
      </c>
      <c r="F43" s="48" t="inlineStr">
        <is>
          <t>Wedding Planner</t>
        </is>
      </c>
      <c r="G43" s="47" t="inlineStr">
        <is>
          <t>2027-06-13</t>
        </is>
      </c>
      <c r="H43" s="48" t="inlineStr">
        <is>
          <t>Not Started</t>
        </is>
      </c>
      <c r="I43" s="45" t="inlineStr"/>
    </row>
    <row r="44" ht="20" customHeight="1">
      <c r="B44" s="44" t="inlineStr">
        <is>
          <t>Wedding Week</t>
        </is>
      </c>
      <c r="C44" s="45" t="inlineStr">
        <is>
          <t>Confirm transportation schedule</t>
        </is>
      </c>
      <c r="D44" s="44" t="inlineStr">
        <is>
          <t>Transportation</t>
        </is>
      </c>
      <c r="E44" s="48" t="inlineStr">
        <is>
          <t>Medium</t>
        </is>
      </c>
      <c r="F44" s="48" t="inlineStr">
        <is>
          <t>Partner 2</t>
        </is>
      </c>
      <c r="G44" s="47" t="inlineStr">
        <is>
          <t>2027-06-14</t>
        </is>
      </c>
      <c r="H44" s="48" t="inlineStr">
        <is>
          <t>Not Started</t>
        </is>
      </c>
      <c r="I44" s="45" t="inlineStr"/>
    </row>
    <row r="45" ht="20" customHeight="1">
      <c r="B45" s="44" t="inlineStr">
        <is>
          <t>Wedding Week</t>
        </is>
      </c>
      <c r="C45" s="45" t="inlineStr">
        <is>
          <t>Drop off decor items</t>
        </is>
      </c>
      <c r="D45" s="44" t="inlineStr">
        <is>
          <t>Decor</t>
        </is>
      </c>
      <c r="E45" s="48" t="inlineStr">
        <is>
          <t>Medium</t>
        </is>
      </c>
      <c r="F45" s="48" t="inlineStr">
        <is>
          <t>Wedding Planner</t>
        </is>
      </c>
      <c r="G45" s="47" t="inlineStr">
        <is>
          <t>2027-06-14</t>
        </is>
      </c>
      <c r="H45" s="48" t="inlineStr">
        <is>
          <t>Not Started</t>
        </is>
      </c>
      <c r="I45" s="45" t="inlineStr"/>
    </row>
    <row r="46" ht="20" customHeight="1">
      <c r="B46" s="44" t="inlineStr">
        <is>
          <t>Wedding Day</t>
        </is>
      </c>
      <c r="C46" s="45" t="inlineStr">
        <is>
          <t>Hair &amp; makeup</t>
        </is>
      </c>
      <c r="D46" s="44" t="inlineStr">
        <is>
          <t>Beauty</t>
        </is>
      </c>
      <c r="E46" s="48" t="inlineStr">
        <is>
          <t>High</t>
        </is>
      </c>
      <c r="F46" s="48" t="inlineStr">
        <is>
          <t>Partner 1</t>
        </is>
      </c>
      <c r="G46" s="47" t="inlineStr">
        <is>
          <t>2027-06-15</t>
        </is>
      </c>
      <c r="H46" s="48" t="inlineStr">
        <is>
          <t>Not Started</t>
        </is>
      </c>
      <c r="I46" s="45" t="inlineStr"/>
    </row>
    <row r="47" ht="20" customHeight="1">
      <c r="B47" s="44" t="inlineStr">
        <is>
          <t>Wedding Day</t>
        </is>
      </c>
      <c r="C47" s="45" t="inlineStr">
        <is>
          <t>First look photos</t>
        </is>
      </c>
      <c r="D47" s="44" t="inlineStr">
        <is>
          <t>Photography</t>
        </is>
      </c>
      <c r="E47" s="48" t="inlineStr">
        <is>
          <t>Medium</t>
        </is>
      </c>
      <c r="F47" s="48" t="inlineStr">
        <is>
          <t>Both</t>
        </is>
      </c>
      <c r="G47" s="47" t="inlineStr">
        <is>
          <t>2027-06-15</t>
        </is>
      </c>
      <c r="H47" s="48" t="inlineStr">
        <is>
          <t>Not Started</t>
        </is>
      </c>
      <c r="I47" s="45" t="inlineStr"/>
    </row>
    <row r="48" ht="20" customHeight="1">
      <c r="B48" s="44" t="inlineStr">
        <is>
          <t>Wedding Day</t>
        </is>
      </c>
      <c r="C48" s="45" t="inlineStr">
        <is>
          <t>Ceremony</t>
        </is>
      </c>
      <c r="D48" s="44" t="inlineStr">
        <is>
          <t>Events</t>
        </is>
      </c>
      <c r="E48" s="48" t="inlineStr">
        <is>
          <t>High</t>
        </is>
      </c>
      <c r="F48" s="48" t="inlineStr">
        <is>
          <t>Both</t>
        </is>
      </c>
      <c r="G48" s="47" t="inlineStr">
        <is>
          <t>2027-06-15</t>
        </is>
      </c>
      <c r="H48" s="48" t="inlineStr">
        <is>
          <t>Not Started</t>
        </is>
      </c>
      <c r="I48" s="45" t="inlineStr"/>
    </row>
    <row r="49" ht="20" customHeight="1">
      <c r="B49" s="44" t="inlineStr">
        <is>
          <t>Wedding Day</t>
        </is>
      </c>
      <c r="C49" s="45" t="inlineStr">
        <is>
          <t>Reception</t>
        </is>
      </c>
      <c r="D49" s="44" t="inlineStr">
        <is>
          <t>Events</t>
        </is>
      </c>
      <c r="E49" s="48" t="inlineStr">
        <is>
          <t>High</t>
        </is>
      </c>
      <c r="F49" s="48" t="inlineStr">
        <is>
          <t>Both</t>
        </is>
      </c>
      <c r="G49" s="47" t="inlineStr">
        <is>
          <t>2027-06-15</t>
        </is>
      </c>
      <c r="H49" s="48" t="inlineStr">
        <is>
          <t>Not Started</t>
        </is>
      </c>
      <c r="I49" s="45" t="inlineStr"/>
    </row>
    <row r="50" ht="20" customHeight="1">
      <c r="B50" s="44" t="inlineStr">
        <is>
          <t>Post-Wedding</t>
        </is>
      </c>
      <c r="C50" s="45" t="inlineStr">
        <is>
          <t>Send thank-you cards</t>
        </is>
      </c>
      <c r="D50" s="44" t="inlineStr">
        <is>
          <t>Stationery</t>
        </is>
      </c>
      <c r="E50" s="48" t="inlineStr">
        <is>
          <t>Medium</t>
        </is>
      </c>
      <c r="F50" s="48" t="inlineStr">
        <is>
          <t>Both</t>
        </is>
      </c>
      <c r="G50" s="47" t="inlineStr">
        <is>
          <t>2027-07-15</t>
        </is>
      </c>
      <c r="H50" s="48" t="inlineStr">
        <is>
          <t>Not Started</t>
        </is>
      </c>
      <c r="I50" s="45" t="inlineStr"/>
    </row>
    <row r="51" ht="20" customHeight="1">
      <c r="B51" s="44" t="inlineStr">
        <is>
          <t>Post-Wedding</t>
        </is>
      </c>
      <c r="C51" s="45" t="inlineStr">
        <is>
          <t>Return rentals</t>
        </is>
      </c>
      <c r="D51" s="44" t="inlineStr">
        <is>
          <t>Rentals</t>
        </is>
      </c>
      <c r="E51" s="48" t="inlineStr">
        <is>
          <t>Medium</t>
        </is>
      </c>
      <c r="F51" s="48" t="inlineStr">
        <is>
          <t>Wedding Planner</t>
        </is>
      </c>
      <c r="G51" s="47" t="inlineStr">
        <is>
          <t>2027-06-17</t>
        </is>
      </c>
      <c r="H51" s="48" t="inlineStr">
        <is>
          <t>Not Started</t>
        </is>
      </c>
      <c r="I51" s="45" t="inlineStr"/>
    </row>
    <row r="52" ht="20" customHeight="1">
      <c r="B52" s="44" t="inlineStr">
        <is>
          <t>Post-Wedding</t>
        </is>
      </c>
      <c r="C52" s="45" t="inlineStr">
        <is>
          <t>Order wedding album</t>
        </is>
      </c>
      <c r="D52" s="44" t="inlineStr">
        <is>
          <t>Photography</t>
        </is>
      </c>
      <c r="E52" s="48" t="inlineStr">
        <is>
          <t>Low</t>
        </is>
      </c>
      <c r="F52" s="48" t="inlineStr">
        <is>
          <t>Both</t>
        </is>
      </c>
      <c r="G52" s="47" t="inlineStr">
        <is>
          <t>2027-08-01</t>
        </is>
      </c>
      <c r="H52" s="48" t="inlineStr">
        <is>
          <t>Not Started</t>
        </is>
      </c>
      <c r="I52" s="45" t="inlineStr"/>
    </row>
    <row r="53" ht="20" customHeight="1">
      <c r="B53" s="44" t="inlineStr">
        <is>
          <t>Post-Wedding</t>
        </is>
      </c>
      <c r="C53" s="45" t="inlineStr">
        <is>
          <t>Change name on documents</t>
        </is>
      </c>
      <c r="D53" s="44" t="inlineStr">
        <is>
          <t>Legal</t>
        </is>
      </c>
      <c r="E53" s="48" t="inlineStr">
        <is>
          <t>Low</t>
        </is>
      </c>
      <c r="F53" s="48" t="inlineStr">
        <is>
          <t>Partner 1</t>
        </is>
      </c>
      <c r="G53" s="47" t="inlineStr">
        <is>
          <t>2027-09-01</t>
        </is>
      </c>
      <c r="H53" s="48" t="inlineStr">
        <is>
          <t>Not Started</t>
        </is>
      </c>
      <c r="I53" s="45" t="inlineStr"/>
    </row>
    <row r="54" ht="20" customHeight="1">
      <c r="B54" s="44" t="n"/>
      <c r="C54" s="45" t="n"/>
      <c r="D54" s="44" t="n"/>
      <c r="E54" s="48" t="n"/>
      <c r="F54" s="48" t="n"/>
      <c r="G54" s="47" t="n"/>
      <c r="H54" s="48" t="n"/>
      <c r="I54" s="45" t="n"/>
    </row>
    <row r="55" ht="20" customHeight="1">
      <c r="B55" s="44" t="n"/>
      <c r="C55" s="45" t="n"/>
      <c r="D55" s="44" t="n"/>
      <c r="E55" s="48" t="n"/>
      <c r="F55" s="48" t="n"/>
      <c r="G55" s="47" t="n"/>
      <c r="H55" s="48" t="n"/>
      <c r="I55" s="45" t="n"/>
    </row>
    <row r="56" ht="20" customHeight="1">
      <c r="B56" s="44" t="n"/>
      <c r="C56" s="45" t="n"/>
      <c r="D56" s="44" t="n"/>
      <c r="E56" s="48" t="n"/>
      <c r="F56" s="48" t="n"/>
      <c r="G56" s="47" t="n"/>
      <c r="H56" s="48" t="n"/>
      <c r="I56" s="45" t="n"/>
    </row>
    <row r="57" ht="20" customHeight="1">
      <c r="B57" s="44" t="n"/>
      <c r="C57" s="45" t="n"/>
      <c r="D57" s="44" t="n"/>
      <c r="E57" s="48" t="n"/>
      <c r="F57" s="48" t="n"/>
      <c r="G57" s="47" t="n"/>
      <c r="H57" s="48" t="n"/>
      <c r="I57" s="45" t="n"/>
    </row>
    <row r="58" ht="20" customHeight="1">
      <c r="B58" s="44" t="n"/>
      <c r="C58" s="45" t="n"/>
      <c r="D58" s="44" t="n"/>
      <c r="E58" s="48" t="n"/>
      <c r="F58" s="48" t="n"/>
      <c r="G58" s="47" t="n"/>
      <c r="H58" s="48" t="n"/>
      <c r="I58" s="45" t="n"/>
    </row>
    <row r="59" ht="20" customHeight="1">
      <c r="B59" s="44" t="n"/>
      <c r="C59" s="45" t="n"/>
      <c r="D59" s="44" t="n"/>
      <c r="E59" s="48" t="n"/>
      <c r="F59" s="48" t="n"/>
      <c r="G59" s="47" t="n"/>
      <c r="H59" s="48" t="n"/>
      <c r="I59" s="45" t="n"/>
    </row>
    <row r="60" ht="20" customHeight="1">
      <c r="B60" s="44" t="n"/>
      <c r="C60" s="45" t="n"/>
      <c r="D60" s="44" t="n"/>
      <c r="E60" s="48" t="n"/>
      <c r="F60" s="48" t="n"/>
      <c r="G60" s="47" t="n"/>
      <c r="H60" s="48" t="n"/>
      <c r="I60" s="45" t="n"/>
    </row>
    <row r="61" ht="20" customHeight="1">
      <c r="B61" s="44" t="n"/>
      <c r="C61" s="45" t="n"/>
      <c r="D61" s="44" t="n"/>
      <c r="E61" s="48" t="n"/>
      <c r="F61" s="48" t="n"/>
      <c r="G61" s="47" t="n"/>
      <c r="H61" s="48" t="n"/>
      <c r="I61" s="45" t="n"/>
    </row>
    <row r="62" ht="20" customHeight="1">
      <c r="B62" s="44" t="n"/>
      <c r="C62" s="45" t="n"/>
      <c r="D62" s="44" t="n"/>
      <c r="E62" s="48" t="n"/>
      <c r="F62" s="48" t="n"/>
      <c r="G62" s="47" t="n"/>
      <c r="H62" s="48" t="n"/>
      <c r="I62" s="45" t="n"/>
    </row>
    <row r="63" ht="20" customHeight="1">
      <c r="B63" s="44" t="n"/>
      <c r="C63" s="45" t="n"/>
      <c r="D63" s="44" t="n"/>
      <c r="E63" s="48" t="n"/>
      <c r="F63" s="48" t="n"/>
      <c r="G63" s="47" t="n"/>
      <c r="H63" s="48" t="n"/>
      <c r="I63" s="45" t="n"/>
    </row>
    <row r="64" ht="20" customHeight="1">
      <c r="B64" s="44" t="n"/>
      <c r="C64" s="45" t="n"/>
      <c r="D64" s="44" t="n"/>
      <c r="E64" s="48" t="n"/>
      <c r="F64" s="48" t="n"/>
      <c r="G64" s="47" t="n"/>
      <c r="H64" s="48" t="n"/>
      <c r="I64" s="45" t="n"/>
    </row>
    <row r="65" ht="20" customHeight="1">
      <c r="B65" s="44" t="n"/>
      <c r="C65" s="45" t="n"/>
      <c r="D65" s="44" t="n"/>
      <c r="E65" s="48" t="n"/>
      <c r="F65" s="48" t="n"/>
      <c r="G65" s="47" t="n"/>
      <c r="H65" s="48" t="n"/>
      <c r="I65" s="45" t="n"/>
    </row>
    <row r="67">
      <c r="B67" s="5" t="inlineStr">
        <is>
          <t>CHECKLIST SUMMARY</t>
        </is>
      </c>
    </row>
    <row r="68">
      <c r="B68" s="36">
        <f>COUNTA(C6:C65)</f>
        <v/>
      </c>
      <c r="C68" s="19" t="n"/>
      <c r="D68" s="20" t="n"/>
      <c r="E68" s="36">
        <f>COUNTIF(H6:H65,"Completed")</f>
        <v/>
      </c>
      <c r="F68" s="19" t="n"/>
      <c r="G68" s="20" t="n"/>
      <c r="H68" s="36">
        <f>COUNTIFS(C6:C65,"&lt;&gt;",H6:H65,"&lt;&gt;Completed")</f>
        <v/>
      </c>
      <c r="I68" s="19" t="n"/>
      <c r="J68" s="20" t="n"/>
      <c r="K68" s="49">
        <f>IFERROR(COUNTIF(H6:H65,"Completed")/(COUNTA(C6:C65)),"")</f>
        <v/>
      </c>
      <c r="L68" s="19" t="n"/>
      <c r="M68" s="20" t="n"/>
    </row>
    <row r="69">
      <c r="B69" s="30" t="n"/>
      <c r="C69" s="31" t="n"/>
      <c r="D69" s="32" t="n"/>
      <c r="E69" s="30" t="n"/>
      <c r="F69" s="31" t="n"/>
      <c r="G69" s="32" t="n"/>
      <c r="H69" s="30" t="n"/>
      <c r="I69" s="31" t="n"/>
      <c r="J69" s="32" t="n"/>
      <c r="K69" s="30" t="n"/>
      <c r="L69" s="31" t="n"/>
      <c r="M69" s="32" t="n"/>
    </row>
    <row r="70">
      <c r="B70" s="33" t="inlineStr">
        <is>
          <t>TOTAL TASKS</t>
        </is>
      </c>
      <c r="C70" s="34" t="n"/>
      <c r="D70" s="35" t="n"/>
      <c r="E70" s="33" t="inlineStr">
        <is>
          <t>COMPLETED</t>
        </is>
      </c>
      <c r="F70" s="34" t="n"/>
      <c r="G70" s="35" t="n"/>
      <c r="H70" s="33" t="inlineStr">
        <is>
          <t>REMAINING</t>
        </is>
      </c>
      <c r="I70" s="34" t="n"/>
      <c r="J70" s="35" t="n"/>
      <c r="K70" s="33" t="inlineStr">
        <is>
          <t>COMPLETION %</t>
        </is>
      </c>
      <c r="L70" s="34" t="n"/>
      <c r="M70" s="35" t="n"/>
    </row>
  </sheetData>
  <mergeCells count="8">
    <mergeCell ref="B68:D69"/>
    <mergeCell ref="H68:J69"/>
    <mergeCell ref="K70:M70"/>
    <mergeCell ref="E70:G70"/>
    <mergeCell ref="B70:D70"/>
    <mergeCell ref="H70:J70"/>
    <mergeCell ref="E68:G69"/>
    <mergeCell ref="K68:M69"/>
  </mergeCells>
  <conditionalFormatting sqref="H6:H65">
    <cfRule type="expression" priority="1" dxfId="0">
      <formula>EXACT(TRIM(H6),"Completed")</formula>
    </cfRule>
    <cfRule type="expression" priority="2" dxfId="2">
      <formula>EXACT(TRIM(H6),"In Progress")</formula>
    </cfRule>
    <cfRule type="expression" priority="3" dxfId="4">
      <formula>EXACT(TRIM(H6),"Not Started")</formula>
    </cfRule>
    <cfRule type="expression" priority="4" dxfId="1">
      <formula>EXACT(TRIM(H6),"Overdue")</formula>
    </cfRule>
  </conditionalFormatting>
  <conditionalFormatting sqref="G6:G65">
    <cfRule type="expression" priority="5" dxfId="1">
      <formula>AND(G6&lt;TODAY(),H6&lt;&gt;"Completed",G6&lt;&gt;"")</formula>
    </cfRule>
  </conditionalFormatting>
  <conditionalFormatting sqref="E6:E65">
    <cfRule type="expression" priority="6" dxfId="3">
      <formula>EXACT(E6,"High")</formula>
    </cfRule>
  </conditionalFormatting>
  <dataValidations count="4">
    <dataValidation sqref="B6:B65" showDropDown="0" showInputMessage="0" showErrorMessage="0" allowBlank="1" errorTitle="Invalid entry" error="Please choose a value from the list." type="list">
      <formula1>Lists!$N$2:$N$10</formula1>
    </dataValidation>
    <dataValidation sqref="E6:E65" showDropDown="0" showInputMessage="0" showErrorMessage="0" allowBlank="1" errorTitle="Invalid entry" error="Please choose a value from the list." type="list">
      <formula1>Lists!$D$2:$D$4</formula1>
    </dataValidation>
    <dataValidation sqref="F6:F65" showDropDown="0" showInputMessage="0" showErrorMessage="0" allowBlank="1" errorTitle="Invalid entry" error="Please choose a value from the list." type="list">
      <formula1>Lists!$J$2:$J$6</formula1>
    </dataValidation>
    <dataValidation sqref="H6:H65" showDropDown="0" showInputMessage="0" showErrorMessage="0" allowBlank="1" errorTitle="Invalid entry" error="Please choose a value from the list." type="list">
      <formula1>Lists!$C$2:$C$5</formula1>
    </dataValidation>
  </dataValidations>
  <hyperlinks>
    <hyperlink ref="B1" location="'Dashboard'!A1"/>
    <hyperlink ref="C1" location="'START HERE'!A1"/>
  </hyperlinks>
  <pageMargins left="0.4" right="0.4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C98F91"/>
    <outlinePr summaryBelow="1" summaryRight="1"/>
    <pageSetUpPr fitToPage="1"/>
  </sheetPr>
  <dimension ref="A1:M34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26" customWidth="1" min="3" max="3"/>
    <col width="14" customWidth="1" min="4" max="4"/>
    <col width="13" customWidth="1" min="5" max="5"/>
    <col width="14" customWidth="1" min="6" max="6"/>
    <col width="14" customWidth="1" min="7" max="7"/>
    <col width="13" customWidth="1" min="8" max="8"/>
    <col width="16" customWidth="1" min="9" max="9"/>
    <col width="16" customWidth="1" min="10" max="10"/>
    <col width="20" customWidth="1" min="11" max="11"/>
  </cols>
  <sheetData>
    <row r="1" ht="8" customHeight="1">
      <c r="A1" s="9" t="n"/>
      <c r="B1" s="10" t="inlineStr">
        <is>
          <t>‹ Dashboard</t>
        </is>
      </c>
      <c r="C1" s="10" t="inlineStr">
        <is>
          <t>‹ Start Here</t>
        </is>
      </c>
      <c r="D1" s="9" t="n"/>
      <c r="E1" s="9" t="n"/>
      <c r="F1" s="9" t="n"/>
      <c r="G1" s="9" t="n"/>
      <c r="H1" s="9" t="n"/>
      <c r="I1" s="9" t="n"/>
      <c r="J1" s="9" t="n"/>
      <c r="K1" s="9" t="n"/>
    </row>
    <row r="2" ht="30" customHeight="1">
      <c r="A2" s="9" t="n"/>
      <c r="B2" s="41" t="inlineStr">
        <is>
          <t>PAYMENT SCHEDULE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 ht="20" customHeight="1">
      <c r="A3" s="16" t="n"/>
      <c r="B3" s="42" t="inlineStr">
        <is>
          <t>Every deposit, balance and due date, tracked automatically.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</row>
    <row r="5">
      <c r="B5" s="43" t="inlineStr">
        <is>
          <t>Vendor</t>
        </is>
      </c>
      <c r="C5" s="43" t="inlineStr">
        <is>
          <t>Expense</t>
        </is>
      </c>
      <c r="D5" s="43" t="inlineStr">
        <is>
          <t>Total Cost</t>
        </is>
      </c>
      <c r="E5" s="43" t="inlineStr">
        <is>
          <t>Deposit</t>
        </is>
      </c>
      <c r="F5" s="43" t="inlineStr">
        <is>
          <t>Amount Paid</t>
        </is>
      </c>
      <c r="G5" s="43" t="inlineStr">
        <is>
          <t>Remaining</t>
        </is>
      </c>
      <c r="H5" s="43" t="inlineStr">
        <is>
          <t>Due Date</t>
        </is>
      </c>
      <c r="I5" s="43" t="inlineStr">
        <is>
          <t>Payment Status</t>
        </is>
      </c>
      <c r="J5" s="43" t="inlineStr">
        <is>
          <t>Payment Method</t>
        </is>
      </c>
      <c r="K5" s="43" t="inlineStr">
        <is>
          <t>Notes</t>
        </is>
      </c>
    </row>
    <row r="6" ht="20" customHeight="1">
      <c r="B6" s="44" t="inlineStr">
        <is>
          <t>Silver Oak Estate</t>
        </is>
      </c>
      <c r="C6" s="45" t="inlineStr">
        <is>
          <t>Venue rental balance</t>
        </is>
      </c>
      <c r="D6" s="46" t="n">
        <v>13500</v>
      </c>
      <c r="E6" s="46" t="n">
        <v>6750</v>
      </c>
      <c r="F6" s="46" t="n">
        <v>6750</v>
      </c>
      <c r="G6" s="46">
        <f>IF(D6="","",D6-(E6+F6))</f>
        <v/>
      </c>
      <c r="H6" s="47" t="inlineStr">
        <is>
          <t>2027-05-15</t>
        </is>
      </c>
      <c r="I6" s="48" t="inlineStr">
        <is>
          <t>Deposit Paid</t>
        </is>
      </c>
      <c r="J6" s="48" t="inlineStr">
        <is>
          <t>Bank Transfer</t>
        </is>
      </c>
      <c r="K6" s="45" t="inlineStr"/>
    </row>
    <row r="7" ht="20" customHeight="1">
      <c r="B7" s="44" t="inlineStr">
        <is>
          <t>Harvest Table Catering</t>
        </is>
      </c>
      <c r="C7" s="45" t="inlineStr">
        <is>
          <t>Catering final balance</t>
        </is>
      </c>
      <c r="D7" s="46" t="n">
        <v>13100</v>
      </c>
      <c r="E7" s="46" t="n">
        <v>4000</v>
      </c>
      <c r="F7" s="46" t="n">
        <v>4000</v>
      </c>
      <c r="G7" s="46">
        <f>IF(D7="","",D7-(E7+F7))</f>
        <v/>
      </c>
      <c r="H7" s="47" t="inlineStr">
        <is>
          <t>2027-05-20</t>
        </is>
      </c>
      <c r="I7" s="48" t="inlineStr">
        <is>
          <t>Partially Paid</t>
        </is>
      </c>
      <c r="J7" s="48" t="inlineStr">
        <is>
          <t>Bank Transfer</t>
        </is>
      </c>
      <c r="K7" s="45" t="inlineStr"/>
    </row>
    <row r="8" ht="20" customHeight="1">
      <c r="B8" s="44" t="inlineStr">
        <is>
          <t>Golden Hour Photo Co.</t>
        </is>
      </c>
      <c r="C8" s="45" t="inlineStr">
        <is>
          <t>Photography balance</t>
        </is>
      </c>
      <c r="D8" s="46" t="n">
        <v>3800</v>
      </c>
      <c r="E8" s="46" t="n">
        <v>1000</v>
      </c>
      <c r="F8" s="46" t="n">
        <v>900</v>
      </c>
      <c r="G8" s="46">
        <f>IF(D8="","",D8-(E8+F8))</f>
        <v/>
      </c>
      <c r="H8" s="47" t="inlineStr">
        <is>
          <t>2027-05-01</t>
        </is>
      </c>
      <c r="I8" s="48" t="inlineStr">
        <is>
          <t>Partially Paid</t>
        </is>
      </c>
      <c r="J8" s="48" t="inlineStr">
        <is>
          <t>Credit Card</t>
        </is>
      </c>
      <c r="K8" s="45" t="inlineStr"/>
    </row>
    <row r="9" ht="20" customHeight="1">
      <c r="B9" s="44" t="inlineStr">
        <is>
          <t>Lumière Films</t>
        </is>
      </c>
      <c r="C9" s="45" t="inlineStr">
        <is>
          <t>Videography balance</t>
        </is>
      </c>
      <c r="D9" s="46" t="n">
        <v>2600</v>
      </c>
      <c r="E9" s="46" t="n">
        <v>800</v>
      </c>
      <c r="F9" s="46" t="n">
        <v>0</v>
      </c>
      <c r="G9" s="46">
        <f>IF(D9="","",D9-(E9+F9))</f>
        <v/>
      </c>
      <c r="H9" s="47" t="inlineStr">
        <is>
          <t>2027-05-01</t>
        </is>
      </c>
      <c r="I9" s="48" t="inlineStr">
        <is>
          <t>Deposit Paid</t>
        </is>
      </c>
      <c r="J9" s="48" t="inlineStr">
        <is>
          <t>Credit Card</t>
        </is>
      </c>
      <c r="K9" s="45" t="inlineStr"/>
    </row>
    <row r="10" ht="20" customHeight="1">
      <c r="B10" s="44" t="inlineStr">
        <is>
          <t>Maison Everly Bridal</t>
        </is>
      </c>
      <c r="C10" s="45" t="inlineStr">
        <is>
          <t>Dress final payment</t>
        </is>
      </c>
      <c r="D10" s="46" t="n">
        <v>2950</v>
      </c>
      <c r="E10" s="46" t="n">
        <v>500</v>
      </c>
      <c r="F10" s="46" t="n">
        <v>2450</v>
      </c>
      <c r="G10" s="46">
        <f>IF(D10="","",D10-(E10+F10))</f>
        <v/>
      </c>
      <c r="H10" s="47" t="inlineStr">
        <is>
          <t>2027-04-01</t>
        </is>
      </c>
      <c r="I10" s="48" t="inlineStr">
        <is>
          <t>Paid in Full</t>
        </is>
      </c>
      <c r="J10" s="48" t="inlineStr">
        <is>
          <t>Credit Card</t>
        </is>
      </c>
      <c r="K10" s="45" t="inlineStr"/>
    </row>
    <row r="11" ht="20" customHeight="1">
      <c r="B11" s="44" t="inlineStr">
        <is>
          <t>Sartorial House</t>
        </is>
      </c>
      <c r="C11" s="45" t="inlineStr">
        <is>
          <t>Suit final payment</t>
        </is>
      </c>
      <c r="D11" s="46" t="n">
        <v>875</v>
      </c>
      <c r="E11" s="46" t="n">
        <v>200</v>
      </c>
      <c r="F11" s="46" t="n">
        <v>675</v>
      </c>
      <c r="G11" s="46">
        <f>IF(D11="","",D11-(E11+F11))</f>
        <v/>
      </c>
      <c r="H11" s="47" t="inlineStr">
        <is>
          <t>2027-04-01</t>
        </is>
      </c>
      <c r="I11" s="48" t="inlineStr">
        <is>
          <t>Paid in Full</t>
        </is>
      </c>
      <c r="J11" s="48" t="inlineStr">
        <is>
          <t>Credit Card</t>
        </is>
      </c>
      <c r="K11" s="45" t="inlineStr"/>
    </row>
    <row r="12" ht="20" customHeight="1">
      <c r="B12" s="44" t="inlineStr">
        <is>
          <t>Wildroot Floral Design</t>
        </is>
      </c>
      <c r="C12" s="45" t="inlineStr">
        <is>
          <t>Floral balance</t>
        </is>
      </c>
      <c r="D12" s="46" t="n">
        <v>4400</v>
      </c>
      <c r="E12" s="46" t="n">
        <v>1200</v>
      </c>
      <c r="F12" s="46" t="n">
        <v>1000</v>
      </c>
      <c r="G12" s="46">
        <f>IF(D12="","",D12-(E12+F12))</f>
        <v/>
      </c>
      <c r="H12" s="47" t="inlineStr">
        <is>
          <t>2027-05-25</t>
        </is>
      </c>
      <c r="I12" s="48" t="inlineStr">
        <is>
          <t>Partially Paid</t>
        </is>
      </c>
      <c r="J12" s="48" t="inlineStr">
        <is>
          <t>Bank Transfer</t>
        </is>
      </c>
      <c r="K12" s="45" t="inlineStr"/>
    </row>
    <row r="13" ht="20" customHeight="1">
      <c r="B13" s="44" t="inlineStr">
        <is>
          <t>Ember &amp; Ivy Events</t>
        </is>
      </c>
      <c r="C13" s="45" t="inlineStr">
        <is>
          <t>Decor balance</t>
        </is>
      </c>
      <c r="D13" s="46" t="n">
        <v>3050</v>
      </c>
      <c r="E13" s="46" t="n">
        <v>800</v>
      </c>
      <c r="F13" s="46" t="n">
        <v>700</v>
      </c>
      <c r="G13" s="46">
        <f>IF(D13="","",D13-(E13+F13))</f>
        <v/>
      </c>
      <c r="H13" s="47" t="inlineStr">
        <is>
          <t>2027-05-25</t>
        </is>
      </c>
      <c r="I13" s="48" t="inlineStr">
        <is>
          <t>Partially Paid</t>
        </is>
      </c>
      <c r="J13" s="48" t="inlineStr">
        <is>
          <t>Bank Transfer</t>
        </is>
      </c>
      <c r="K13" s="45" t="inlineStr"/>
    </row>
    <row r="14" ht="20" customHeight="1">
      <c r="B14" s="44" t="inlineStr">
        <is>
          <t>Skyline Sound Co.</t>
        </is>
      </c>
      <c r="C14" s="45" t="inlineStr">
        <is>
          <t>DJ balance</t>
        </is>
      </c>
      <c r="D14" s="46" t="n">
        <v>1800</v>
      </c>
      <c r="E14" s="46" t="n">
        <v>400</v>
      </c>
      <c r="F14" s="46" t="n">
        <v>500</v>
      </c>
      <c r="G14" s="46">
        <f>IF(D14="","",D14-(E14+F14))</f>
        <v/>
      </c>
      <c r="H14" s="47" t="inlineStr">
        <is>
          <t>2027-05-15</t>
        </is>
      </c>
      <c r="I14" s="48" t="inlineStr">
        <is>
          <t>Partially Paid</t>
        </is>
      </c>
      <c r="J14" s="48" t="inlineStr">
        <is>
          <t>Digital Wallet</t>
        </is>
      </c>
      <c r="K14" s="45" t="inlineStr"/>
    </row>
    <row r="15" ht="20" customHeight="1">
      <c r="B15" s="44" t="inlineStr">
        <is>
          <t>Napa String Quartet</t>
        </is>
      </c>
      <c r="C15" s="45" t="inlineStr">
        <is>
          <t>Quartet full payment</t>
        </is>
      </c>
      <c r="D15" s="46" t="n">
        <v>900</v>
      </c>
      <c r="E15" s="46" t="n">
        <v>200</v>
      </c>
      <c r="F15" s="46" t="n">
        <v>700</v>
      </c>
      <c r="G15" s="46">
        <f>IF(D15="","",D15-(E15+F15))</f>
        <v/>
      </c>
      <c r="H15" s="47" t="inlineStr">
        <is>
          <t>2027-04-15</t>
        </is>
      </c>
      <c r="I15" s="48" t="inlineStr">
        <is>
          <t>Paid in Full</t>
        </is>
      </c>
      <c r="J15" s="48" t="inlineStr">
        <is>
          <t>Cheque</t>
        </is>
      </c>
      <c r="K15" s="45" t="inlineStr"/>
    </row>
    <row r="16" ht="20" customHeight="1">
      <c r="B16" s="44" t="inlineStr">
        <is>
          <t>Valley Transit Co.</t>
        </is>
      </c>
      <c r="C16" s="45" t="inlineStr">
        <is>
          <t>Shuttle service payment</t>
        </is>
      </c>
      <c r="D16" s="46" t="n">
        <v>1150</v>
      </c>
      <c r="E16" s="46" t="n">
        <v>0</v>
      </c>
      <c r="F16" s="46" t="n">
        <v>0</v>
      </c>
      <c r="G16" s="46">
        <f>IF(D16="","",D16-(E16+F16))</f>
        <v/>
      </c>
      <c r="H16" s="47" t="inlineStr">
        <is>
          <t>2027-06-01</t>
        </is>
      </c>
      <c r="I16" s="48" t="inlineStr">
        <is>
          <t>Not Started</t>
        </is>
      </c>
      <c r="J16" s="48" t="inlineStr">
        <is>
          <t>Bank Transfer</t>
        </is>
      </c>
      <c r="K16" s="45" t="inlineStr"/>
    </row>
    <row r="17" ht="20" customHeight="1">
      <c r="B17" s="44" t="inlineStr">
        <is>
          <t>Paperie &amp; Pine</t>
        </is>
      </c>
      <c r="C17" s="45" t="inlineStr">
        <is>
          <t>Stationery balance</t>
        </is>
      </c>
      <c r="D17" s="46" t="n">
        <v>1800</v>
      </c>
      <c r="E17" s="46" t="n">
        <v>0</v>
      </c>
      <c r="F17" s="46" t="n">
        <v>1200</v>
      </c>
      <c r="G17" s="46">
        <f>IF(D17="","",D17-(E17+F17))</f>
        <v/>
      </c>
      <c r="H17" s="47" t="inlineStr">
        <is>
          <t>2027-02-01</t>
        </is>
      </c>
      <c r="I17" s="48" t="inlineStr">
        <is>
          <t>Overdue</t>
        </is>
      </c>
      <c r="J17" s="48" t="inlineStr">
        <is>
          <t>Credit Card</t>
        </is>
      </c>
      <c r="K17" s="45" t="inlineStr"/>
    </row>
    <row r="18" ht="20" customHeight="1">
      <c r="B18" s="44" t="inlineStr">
        <is>
          <t>Sugar &amp; Sage Bakery</t>
        </is>
      </c>
      <c r="C18" s="45" t="inlineStr">
        <is>
          <t>Cake balance</t>
        </is>
      </c>
      <c r="D18" s="46" t="n">
        <v>1150</v>
      </c>
      <c r="E18" s="46" t="n">
        <v>300</v>
      </c>
      <c r="F18" s="46" t="n">
        <v>850</v>
      </c>
      <c r="G18" s="46">
        <f>IF(D18="","",D18-(E18+F18))</f>
        <v/>
      </c>
      <c r="H18" s="47" t="inlineStr">
        <is>
          <t>2027-05-20</t>
        </is>
      </c>
      <c r="I18" s="48" t="inlineStr">
        <is>
          <t>Paid in Full</t>
        </is>
      </c>
      <c r="J18" s="48" t="inlineStr">
        <is>
          <t>Cash</t>
        </is>
      </c>
      <c r="K18" s="45" t="inlineStr"/>
    </row>
    <row r="19" ht="20" customHeight="1">
      <c r="B19" s="44" t="inlineStr">
        <is>
          <t>Heirloom &amp; Co. Jewelers</t>
        </is>
      </c>
      <c r="C19" s="45" t="inlineStr">
        <is>
          <t>Rings full payment</t>
        </is>
      </c>
      <c r="D19" s="46" t="n">
        <v>2150</v>
      </c>
      <c r="E19" s="46" t="n">
        <v>0</v>
      </c>
      <c r="F19" s="46" t="n">
        <v>2150</v>
      </c>
      <c r="G19" s="46">
        <f>IF(D19="","",D19-(E19+F19))</f>
        <v/>
      </c>
      <c r="H19" s="47" t="inlineStr">
        <is>
          <t>2027-01-01</t>
        </is>
      </c>
      <c r="I19" s="48" t="inlineStr">
        <is>
          <t>Paid in Full</t>
        </is>
      </c>
      <c r="J19" s="48" t="inlineStr">
        <is>
          <t>Credit Card</t>
        </is>
      </c>
      <c r="K19" s="45" t="inlineStr"/>
    </row>
    <row r="20" ht="20" customHeight="1">
      <c r="B20" s="44" t="inlineStr">
        <is>
          <t>Vintage Rentals Co.</t>
        </is>
      </c>
      <c r="C20" s="45" t="inlineStr">
        <is>
          <t>Rentals balance</t>
        </is>
      </c>
      <c r="D20" s="46" t="n">
        <v>2500</v>
      </c>
      <c r="E20" s="46" t="n">
        <v>600</v>
      </c>
      <c r="F20" s="46" t="n">
        <v>400</v>
      </c>
      <c r="G20" s="46">
        <f>IF(D20="","",D20-(E20+F20))</f>
        <v/>
      </c>
      <c r="H20" s="47" t="inlineStr">
        <is>
          <t>2027-05-30</t>
        </is>
      </c>
      <c r="I20" s="48" t="inlineStr">
        <is>
          <t>Partially Paid</t>
        </is>
      </c>
      <c r="J20" s="48" t="inlineStr">
        <is>
          <t>Bank Transfer</t>
        </is>
      </c>
      <c r="K20" s="45" t="inlineStr"/>
    </row>
    <row r="21" ht="20" customHeight="1">
      <c r="B21" s="44" t="inlineStr">
        <is>
          <t>Napa Ridge Inn</t>
        </is>
      </c>
      <c r="C21" s="45" t="inlineStr">
        <is>
          <t>Room block deposit</t>
        </is>
      </c>
      <c r="D21" s="46" t="n">
        <v>1600</v>
      </c>
      <c r="E21" s="46" t="n">
        <v>400</v>
      </c>
      <c r="F21" s="46" t="n">
        <v>1200</v>
      </c>
      <c r="G21" s="46">
        <f>IF(D21="","",D21-(E21+F21))</f>
        <v/>
      </c>
      <c r="H21" s="47" t="inlineStr">
        <is>
          <t>2027-05-01</t>
        </is>
      </c>
      <c r="I21" s="48" t="inlineStr">
        <is>
          <t>Paid in Full</t>
        </is>
      </c>
      <c r="J21" s="48" t="inlineStr">
        <is>
          <t>Bank Transfer</t>
        </is>
      </c>
      <c r="K21" s="45" t="inlineStr"/>
    </row>
    <row r="22" ht="20" customHeight="1">
      <c r="B22" s="44" t="inlineStr">
        <is>
          <t>Local Artisan Market</t>
        </is>
      </c>
      <c r="C22" s="45" t="inlineStr">
        <is>
          <t>Gifts payment</t>
        </is>
      </c>
      <c r="D22" s="46" t="n">
        <v>680</v>
      </c>
      <c r="E22" s="46" t="n">
        <v>0</v>
      </c>
      <c r="F22" s="46" t="n">
        <v>0</v>
      </c>
      <c r="G22" s="46">
        <f>IF(D22="","",D22-(E22+F22))</f>
        <v/>
      </c>
      <c r="H22" s="47" t="inlineStr">
        <is>
          <t>2027-05-25</t>
        </is>
      </c>
      <c r="I22" s="48" t="inlineStr">
        <is>
          <t>Not Started</t>
        </is>
      </c>
      <c r="J22" s="48" t="inlineStr">
        <is>
          <t>Cash</t>
        </is>
      </c>
      <c r="K22" s="45" t="inlineStr"/>
    </row>
    <row r="23" ht="20" customHeight="1">
      <c r="B23" s="44" t="n"/>
      <c r="C23" s="45" t="n"/>
      <c r="D23" s="46" t="n"/>
      <c r="E23" s="46" t="n"/>
      <c r="F23" s="46" t="n"/>
      <c r="G23" s="46">
        <f>IF(D23="","",D23-(E23+F23))</f>
        <v/>
      </c>
      <c r="H23" s="47" t="n"/>
      <c r="I23" s="48" t="n"/>
      <c r="J23" s="48" t="n"/>
      <c r="K23" s="45" t="n"/>
    </row>
    <row r="24" ht="20" customHeight="1">
      <c r="B24" s="44" t="n"/>
      <c r="C24" s="45" t="n"/>
      <c r="D24" s="46" t="n"/>
      <c r="E24" s="46" t="n"/>
      <c r="F24" s="46" t="n"/>
      <c r="G24" s="46">
        <f>IF(D24="","",D24-(E24+F24))</f>
        <v/>
      </c>
      <c r="H24" s="47" t="n"/>
      <c r="I24" s="48" t="n"/>
      <c r="J24" s="48" t="n"/>
      <c r="K24" s="45" t="n"/>
    </row>
    <row r="25" ht="20" customHeight="1">
      <c r="B25" s="44" t="n"/>
      <c r="C25" s="45" t="n"/>
      <c r="D25" s="46" t="n"/>
      <c r="E25" s="46" t="n"/>
      <c r="F25" s="46" t="n"/>
      <c r="G25" s="46">
        <f>IF(D25="","",D25-(E25+F25))</f>
        <v/>
      </c>
      <c r="H25" s="47" t="n"/>
      <c r="I25" s="48" t="n"/>
      <c r="J25" s="48" t="n"/>
      <c r="K25" s="45" t="n"/>
    </row>
    <row r="26" ht="20" customHeight="1">
      <c r="B26" s="44" t="n"/>
      <c r="C26" s="45" t="n"/>
      <c r="D26" s="46" t="n"/>
      <c r="E26" s="46" t="n"/>
      <c r="F26" s="46" t="n"/>
      <c r="G26" s="46">
        <f>IF(D26="","",D26-(E26+F26))</f>
        <v/>
      </c>
      <c r="H26" s="47" t="n"/>
      <c r="I26" s="48" t="n"/>
      <c r="J26" s="48" t="n"/>
      <c r="K26" s="45" t="n"/>
    </row>
    <row r="27" ht="20" customHeight="1">
      <c r="B27" s="44" t="n"/>
      <c r="C27" s="45" t="n"/>
      <c r="D27" s="46" t="n"/>
      <c r="E27" s="46" t="n"/>
      <c r="F27" s="46" t="n"/>
      <c r="G27" s="46">
        <f>IF(D27="","",D27-(E27+F27))</f>
        <v/>
      </c>
      <c r="H27" s="47" t="n"/>
      <c r="I27" s="48" t="n"/>
      <c r="J27" s="48" t="n"/>
      <c r="K27" s="45" t="n"/>
    </row>
    <row r="28" ht="20" customHeight="1">
      <c r="B28" s="44" t="n"/>
      <c r="C28" s="45" t="n"/>
      <c r="D28" s="46" t="n"/>
      <c r="E28" s="46" t="n"/>
      <c r="F28" s="46" t="n"/>
      <c r="G28" s="46">
        <f>IF(D28="","",D28-(E28+F28))</f>
        <v/>
      </c>
      <c r="H28" s="47" t="n"/>
      <c r="I28" s="48" t="n"/>
      <c r="J28" s="48" t="n"/>
      <c r="K28" s="45" t="n"/>
    </row>
    <row r="29" ht="20" customHeight="1">
      <c r="B29" s="44" t="n"/>
      <c r="C29" s="45" t="n"/>
      <c r="D29" s="46" t="n"/>
      <c r="E29" s="46" t="n"/>
      <c r="F29" s="46" t="n"/>
      <c r="G29" s="46">
        <f>IF(D29="","",D29-(E29+F29))</f>
        <v/>
      </c>
      <c r="H29" s="47" t="n"/>
      <c r="I29" s="48" t="n"/>
      <c r="J29" s="48" t="n"/>
      <c r="K29" s="45" t="n"/>
    </row>
    <row r="31">
      <c r="B31" s="5" t="inlineStr">
        <is>
          <t>PAYMENTS SUMMARY</t>
        </is>
      </c>
    </row>
    <row r="32">
      <c r="B32" s="18">
        <f>SUM(D6:D29)</f>
        <v/>
      </c>
      <c r="C32" s="19" t="n"/>
      <c r="D32" s="20" t="n"/>
      <c r="E32" s="18">
        <f>SUM(E6:E29)+SUM(F6:F29)</f>
        <v/>
      </c>
      <c r="F32" s="19" t="n"/>
      <c r="G32" s="20" t="n"/>
      <c r="H32" s="18">
        <f>SUM(G6:G29)</f>
        <v/>
      </c>
      <c r="I32" s="19" t="n"/>
      <c r="J32" s="20" t="n"/>
      <c r="K32" s="36">
        <f>COUNTIFS(H6:H29,"&lt;"&amp;TODAY(),I6:I29,"&lt;&gt;Paid in Full")</f>
        <v/>
      </c>
      <c r="L32" s="19" t="n"/>
      <c r="M32" s="20" t="n"/>
    </row>
    <row r="33">
      <c r="B33" s="30" t="n"/>
      <c r="C33" s="31" t="n"/>
      <c r="D33" s="32" t="n"/>
      <c r="E33" s="30" t="n"/>
      <c r="F33" s="31" t="n"/>
      <c r="G33" s="32" t="n"/>
      <c r="H33" s="30" t="n"/>
      <c r="I33" s="31" t="n"/>
      <c r="J33" s="32" t="n"/>
      <c r="K33" s="30" t="n"/>
      <c r="L33" s="31" t="n"/>
      <c r="M33" s="32" t="n"/>
    </row>
    <row r="34">
      <c r="B34" s="33" t="inlineStr">
        <is>
          <t>TOTAL PAYABLE</t>
        </is>
      </c>
      <c r="C34" s="34" t="n"/>
      <c r="D34" s="35" t="n"/>
      <c r="E34" s="33" t="inlineStr">
        <is>
          <t>TOTAL PAID</t>
        </is>
      </c>
      <c r="F34" s="34" t="n"/>
      <c r="G34" s="35" t="n"/>
      <c r="H34" s="33" t="inlineStr">
        <is>
          <t>TOTAL REMAINING</t>
        </is>
      </c>
      <c r="I34" s="34" t="n"/>
      <c r="J34" s="35" t="n"/>
      <c r="K34" s="33" t="inlineStr">
        <is>
          <t>OVERDUE</t>
        </is>
      </c>
      <c r="L34" s="34" t="n"/>
      <c r="M34" s="35" t="n"/>
    </row>
  </sheetData>
  <mergeCells count="8">
    <mergeCell ref="K32:M33"/>
    <mergeCell ref="B32:D33"/>
    <mergeCell ref="E32:G33"/>
    <mergeCell ref="E34:G34"/>
    <mergeCell ref="H34:J34"/>
    <mergeCell ref="K34:M34"/>
    <mergeCell ref="H32:J33"/>
    <mergeCell ref="B34:D34"/>
  </mergeCells>
  <conditionalFormatting sqref="I6:I29">
    <cfRule type="expression" priority="1" dxfId="0">
      <formula>EXACT(TRIM(I6),"Paid in Full")</formula>
    </cfRule>
    <cfRule type="expression" priority="2" dxfId="1">
      <formula>EXACT(TRIM(I6),"Overdue")</formula>
    </cfRule>
    <cfRule type="expression" priority="3" dxfId="2">
      <formula>EXACT(TRIM(I6),"Deposit Paid")</formula>
    </cfRule>
    <cfRule type="expression" priority="4" dxfId="2">
      <formula>EXACT(TRIM(I6),"Partially Paid")</formula>
    </cfRule>
    <cfRule type="expression" priority="5" dxfId="3">
      <formula>EXACT(TRIM(I6),"Not Started")</formula>
    </cfRule>
  </conditionalFormatting>
  <conditionalFormatting sqref="H6:H29">
    <cfRule type="expression" priority="6" dxfId="1">
      <formula>AND(H6&lt;TODAY(),I6&lt;&gt;"Paid in Full",H6&lt;&gt;"")</formula>
    </cfRule>
  </conditionalFormatting>
  <dataValidations count="2">
    <dataValidation sqref="I6:I29" showDropDown="0" showInputMessage="0" showErrorMessage="0" allowBlank="1" errorTitle="Invalid entry" error="Please choose a value from the list." type="list">
      <formula1>Lists!$B$2:$B$6</formula1>
    </dataValidation>
    <dataValidation sqref="J6:J29" showDropDown="0" showInputMessage="0" showErrorMessage="0" allowBlank="1" errorTitle="Invalid entry" error="Please choose a value from the list." type="list">
      <formula1>Lists!$K$2:$K$6</formula1>
    </dataValidation>
  </dataValidations>
  <hyperlinks>
    <hyperlink ref="B1" location="'Dashboard'!A1"/>
    <hyperlink ref="C1" location="'START HERE'!A1"/>
  </hyperlinks>
  <pageMargins left="0.4" right="0.4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C98F91"/>
    <outlinePr summaryBelow="1" summaryRight="1"/>
    <pageSetUpPr fitToPage="1"/>
  </sheetPr>
  <dimension ref="A1:I17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2" max="2"/>
    <col width="16" customWidth="1" min="3" max="3"/>
    <col width="12" customWidth="1" min="4" max="4"/>
    <col width="15" customWidth="1" min="5" max="5"/>
    <col width="24" customWidth="1" min="6" max="6"/>
    <col width="28" customWidth="1" min="7" max="7"/>
    <col width="18" customWidth="1" min="8" max="8"/>
    <col width="16" customWidth="1" min="9" max="9"/>
  </cols>
  <sheetData>
    <row r="1" ht="8" customHeight="1">
      <c r="A1" s="9" t="n"/>
      <c r="B1" s="10" t="inlineStr">
        <is>
          <t>‹ Dashboard</t>
        </is>
      </c>
      <c r="C1" s="10" t="inlineStr">
        <is>
          <t>‹ Start Here</t>
        </is>
      </c>
      <c r="D1" s="9" t="n"/>
      <c r="E1" s="9" t="n"/>
      <c r="F1" s="9" t="n"/>
      <c r="G1" s="9" t="n"/>
      <c r="H1" s="9" t="n"/>
      <c r="I1" s="9" t="n"/>
    </row>
    <row r="2" ht="30" customHeight="1">
      <c r="A2" s="9" t="n"/>
      <c r="B2" s="41" t="inlineStr">
        <is>
          <t>WEDDING PARTY</t>
        </is>
      </c>
      <c r="C2" s="9" t="n"/>
      <c r="D2" s="9" t="n"/>
      <c r="E2" s="9" t="n"/>
      <c r="F2" s="9" t="n"/>
      <c r="G2" s="9" t="n"/>
      <c r="H2" s="9" t="n"/>
      <c r="I2" s="9" t="n"/>
    </row>
    <row r="3" ht="20" customHeight="1">
      <c r="A3" s="16" t="n"/>
      <c r="B3" s="42" t="inlineStr">
        <is>
          <t>Roles, responsibilities and attire for your closest circle.</t>
        </is>
      </c>
      <c r="C3" s="16" t="n"/>
      <c r="D3" s="16" t="n"/>
      <c r="E3" s="16" t="n"/>
      <c r="F3" s="16" t="n"/>
      <c r="G3" s="16" t="n"/>
      <c r="H3" s="16" t="n"/>
      <c r="I3" s="16" t="n"/>
    </row>
    <row r="5">
      <c r="B5" s="43" t="inlineStr">
        <is>
          <t>Name</t>
        </is>
      </c>
      <c r="C5" s="43" t="inlineStr">
        <is>
          <t>Role</t>
        </is>
      </c>
      <c r="D5" s="43" t="inlineStr">
        <is>
          <t>Side</t>
        </is>
      </c>
      <c r="E5" s="43" t="inlineStr">
        <is>
          <t>Phone</t>
        </is>
      </c>
      <c r="F5" s="43" t="inlineStr">
        <is>
          <t>Email</t>
        </is>
      </c>
      <c r="G5" s="43" t="inlineStr">
        <is>
          <t>Responsibilities</t>
        </is>
      </c>
      <c r="H5" s="43" t="inlineStr">
        <is>
          <t>Attire</t>
        </is>
      </c>
      <c r="I5" s="43" t="inlineStr">
        <is>
          <t>Notes</t>
        </is>
      </c>
    </row>
    <row r="6" ht="34" customHeight="1">
      <c r="B6" s="44" t="inlineStr">
        <is>
          <t>Isabella Carter</t>
        </is>
      </c>
      <c r="C6" s="44" t="inlineStr">
        <is>
          <t>Maid of Honor</t>
        </is>
      </c>
      <c r="D6" s="48" t="inlineStr">
        <is>
          <t>Partner 1</t>
        </is>
      </c>
      <c r="E6" s="44" t="inlineStr">
        <is>
          <t>555-0201</t>
        </is>
      </c>
      <c r="F6" s="44" t="inlineStr">
        <is>
          <t>isabella.carter@example.com</t>
        </is>
      </c>
      <c r="G6" s="45" t="inlineStr">
        <is>
          <t>Coordinate bridesmaids, help with dress</t>
        </is>
      </c>
      <c r="H6" s="44" t="inlineStr">
        <is>
          <t>Dusty rose gown</t>
        </is>
      </c>
      <c r="I6" s="45" t="inlineStr"/>
    </row>
    <row r="7" ht="20" customHeight="1">
      <c r="B7" s="44" t="inlineStr">
        <is>
          <t>Grace Sullivan</t>
        </is>
      </c>
      <c r="C7" s="44" t="inlineStr">
        <is>
          <t>Bridesmaid</t>
        </is>
      </c>
      <c r="D7" s="48" t="inlineStr">
        <is>
          <t>Partner 1</t>
        </is>
      </c>
      <c r="E7" s="44" t="inlineStr">
        <is>
          <t>555-0202</t>
        </is>
      </c>
      <c r="F7" s="44" t="inlineStr">
        <is>
          <t>grace.sullivan@example.com</t>
        </is>
      </c>
      <c r="G7" s="45" t="inlineStr">
        <is>
          <t>Bridal shower planning</t>
        </is>
      </c>
      <c r="H7" s="44" t="inlineStr">
        <is>
          <t>Dusty rose gown</t>
        </is>
      </c>
      <c r="I7" s="45" t="inlineStr"/>
    </row>
    <row r="8" ht="20" customHeight="1">
      <c r="B8" s="44" t="inlineStr">
        <is>
          <t>Chloe Mitchell</t>
        </is>
      </c>
      <c r="C8" s="44" t="inlineStr">
        <is>
          <t>Bridesmaid</t>
        </is>
      </c>
      <c r="D8" s="48" t="inlineStr">
        <is>
          <t>Partner 1</t>
        </is>
      </c>
      <c r="E8" s="44" t="inlineStr">
        <is>
          <t>555-0203</t>
        </is>
      </c>
      <c r="F8" s="44" t="inlineStr">
        <is>
          <t>chloe.mitchell@example.com</t>
        </is>
      </c>
      <c r="G8" s="45" t="inlineStr">
        <is>
          <t>Guest book duties</t>
        </is>
      </c>
      <c r="H8" s="44" t="inlineStr">
        <is>
          <t>Dusty rose gown</t>
        </is>
      </c>
      <c r="I8" s="45" t="inlineStr"/>
    </row>
    <row r="9" ht="20" customHeight="1">
      <c r="B9" s="44" t="inlineStr">
        <is>
          <t>Ava Reyes</t>
        </is>
      </c>
      <c r="C9" s="44" t="inlineStr">
        <is>
          <t>Bridesmaid</t>
        </is>
      </c>
      <c r="D9" s="48" t="inlineStr">
        <is>
          <t>Partner 1</t>
        </is>
      </c>
      <c r="E9" s="44" t="inlineStr">
        <is>
          <t>555-0204</t>
        </is>
      </c>
      <c r="F9" s="44" t="inlineStr">
        <is>
          <t>ava.reyes@example.com</t>
        </is>
      </c>
      <c r="G9" s="45" t="inlineStr">
        <is>
          <t>Help with seating chart</t>
        </is>
      </c>
      <c r="H9" s="44" t="inlineStr">
        <is>
          <t>Dusty rose gown</t>
        </is>
      </c>
      <c r="I9" s="45" t="inlineStr"/>
    </row>
    <row r="10" ht="20" customHeight="1">
      <c r="B10" s="44" t="inlineStr">
        <is>
          <t>William Foster</t>
        </is>
      </c>
      <c r="C10" s="44" t="inlineStr">
        <is>
          <t>Best Man</t>
        </is>
      </c>
      <c r="D10" s="48" t="inlineStr">
        <is>
          <t>Partner 2</t>
        </is>
      </c>
      <c r="E10" s="44" t="inlineStr">
        <is>
          <t>555-0205</t>
        </is>
      </c>
      <c r="F10" s="44" t="inlineStr">
        <is>
          <t>william.foster@example.com</t>
        </is>
      </c>
      <c r="G10" s="45" t="inlineStr">
        <is>
          <t>Coordinate groomsmen, toast</t>
        </is>
      </c>
      <c r="H10" s="44" t="inlineStr">
        <is>
          <t>Charcoal suit</t>
        </is>
      </c>
      <c r="I10" s="45" t="inlineStr"/>
    </row>
    <row r="11" ht="20" customHeight="1">
      <c r="B11" s="44" t="inlineStr">
        <is>
          <t>Lucas Griffin</t>
        </is>
      </c>
      <c r="C11" s="44" t="inlineStr">
        <is>
          <t>Groomsman</t>
        </is>
      </c>
      <c r="D11" s="48" t="inlineStr">
        <is>
          <t>Partner 2</t>
        </is>
      </c>
      <c r="E11" s="44" t="inlineStr">
        <is>
          <t>555-0206</t>
        </is>
      </c>
      <c r="F11" s="44" t="inlineStr">
        <is>
          <t>lucas.griffin@example.com</t>
        </is>
      </c>
      <c r="G11" s="45" t="inlineStr">
        <is>
          <t>Bachelor party planning</t>
        </is>
      </c>
      <c r="H11" s="44" t="inlineStr">
        <is>
          <t>Charcoal suit</t>
        </is>
      </c>
      <c r="I11" s="45" t="inlineStr"/>
    </row>
    <row r="12" ht="20" customHeight="1">
      <c r="B12" s="44" t="inlineStr">
        <is>
          <t>Henry Warren</t>
        </is>
      </c>
      <c r="C12" s="44" t="inlineStr">
        <is>
          <t>Groomsman</t>
        </is>
      </c>
      <c r="D12" s="48" t="inlineStr">
        <is>
          <t>Partner 2</t>
        </is>
      </c>
      <c r="E12" s="44" t="inlineStr">
        <is>
          <t>555-0207</t>
        </is>
      </c>
      <c r="F12" s="44" t="inlineStr">
        <is>
          <t>henry.warren@example.com</t>
        </is>
      </c>
      <c r="G12" s="45" t="inlineStr">
        <is>
          <t>Transportation coordination</t>
        </is>
      </c>
      <c r="H12" s="44" t="inlineStr">
        <is>
          <t>Charcoal suit</t>
        </is>
      </c>
      <c r="I12" s="45" t="inlineStr"/>
    </row>
    <row r="13" ht="20" customHeight="1">
      <c r="B13" s="44" t="inlineStr">
        <is>
          <t>Owen Hughes</t>
        </is>
      </c>
      <c r="C13" s="44" t="inlineStr">
        <is>
          <t>Groomsman</t>
        </is>
      </c>
      <c r="D13" s="48" t="inlineStr">
        <is>
          <t>Partner 2</t>
        </is>
      </c>
      <c r="E13" s="44" t="inlineStr">
        <is>
          <t>555-0208</t>
        </is>
      </c>
      <c r="F13" s="44" t="inlineStr">
        <is>
          <t>owen.hughes@example.com</t>
        </is>
      </c>
      <c r="G13" s="45" t="inlineStr">
        <is>
          <t>Ring bearer supervision</t>
        </is>
      </c>
      <c r="H13" s="44" t="inlineStr">
        <is>
          <t>Charcoal suit</t>
        </is>
      </c>
      <c r="I13" s="45" t="inlineStr"/>
    </row>
    <row r="14" ht="20" customHeight="1">
      <c r="B14" s="44" t="inlineStr">
        <is>
          <t>Nora Fitzgerald</t>
        </is>
      </c>
      <c r="C14" s="44" t="inlineStr">
        <is>
          <t>Officiant</t>
        </is>
      </c>
      <c r="D14" s="48" t="inlineStr">
        <is>
          <t>Both</t>
        </is>
      </c>
      <c r="E14" s="44" t="inlineStr">
        <is>
          <t>555-0209</t>
        </is>
      </c>
      <c r="F14" s="44" t="inlineStr">
        <is>
          <t>nora.officiant@example.com</t>
        </is>
      </c>
      <c r="G14" s="45" t="inlineStr">
        <is>
          <t>Conduct ceremony</t>
        </is>
      </c>
      <c r="H14" s="44" t="inlineStr">
        <is>
          <t>Formal attire</t>
        </is>
      </c>
      <c r="I14" s="45" t="inlineStr"/>
    </row>
    <row r="15" ht="20" customHeight="1">
      <c r="B15" s="44" t="inlineStr">
        <is>
          <t>Emily Chambers</t>
        </is>
      </c>
      <c r="C15" s="44" t="inlineStr">
        <is>
          <t>Flower Girl</t>
        </is>
      </c>
      <c r="D15" s="48" t="inlineStr">
        <is>
          <t>Partner 1</t>
        </is>
      </c>
      <c r="E15" s="44" t="inlineStr">
        <is>
          <t>555-0210</t>
        </is>
      </c>
      <c r="F15" s="44" t="inlineStr">
        <is>
          <t>n/a</t>
        </is>
      </c>
      <c r="G15" s="45" t="inlineStr">
        <is>
          <t>Walk down aisle with petals</t>
        </is>
      </c>
      <c r="H15" s="44" t="inlineStr">
        <is>
          <t>Ivory dress</t>
        </is>
      </c>
      <c r="I15" s="45" t="inlineStr">
        <is>
          <t>Age 6</t>
        </is>
      </c>
    </row>
    <row r="16" ht="20" customHeight="1">
      <c r="B16" s="44" t="n"/>
      <c r="C16" s="44" t="n"/>
      <c r="D16" s="48" t="n"/>
      <c r="E16" s="44" t="n"/>
      <c r="F16" s="44" t="n"/>
      <c r="G16" s="45" t="n"/>
      <c r="H16" s="44" t="n"/>
      <c r="I16" s="45" t="n"/>
    </row>
    <row r="17" ht="20" customHeight="1">
      <c r="B17" s="44" t="n"/>
      <c r="C17" s="44" t="n"/>
      <c r="D17" s="48" t="n"/>
      <c r="E17" s="44" t="n"/>
      <c r="F17" s="44" t="n"/>
      <c r="G17" s="45" t="n"/>
      <c r="H17" s="44" t="n"/>
      <c r="I17" s="45" t="n"/>
    </row>
  </sheetData>
  <dataValidations count="1">
    <dataValidation sqref="D6:D17" showDropDown="0" showInputMessage="0" showErrorMessage="0" allowBlank="1" errorTitle="Invalid entry" error="Please choose a value from the list." type="list">
      <formula1>Lists!$I$2:$I$4</formula1>
    </dataValidation>
  </dataValidations>
  <hyperlinks>
    <hyperlink ref="B1" location="'Dashboard'!A1"/>
    <hyperlink ref="C1" location="'START HERE'!A1"/>
  </hyperlinks>
  <pageMargins left="0.4" right="0.4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C98F91"/>
    <outlinePr summaryBelow="1" summaryRight="1"/>
    <pageSetUpPr fitToPage="1"/>
  </sheetPr>
  <dimension ref="A1:N15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2" max="2"/>
    <col width="18" customWidth="1" min="3" max="3"/>
    <col width="10" customWidth="1" min="4" max="4"/>
    <col width="13" customWidth="1" min="5" max="5"/>
    <col width="15" customWidth="1" min="6" max="6"/>
    <col width="11" customWidth="1" min="7" max="7"/>
    <col width="18" customWidth="1" min="8" max="8"/>
    <col width="19" customWidth="1" min="9" max="9"/>
    <col width="20" customWidth="1" min="10" max="10"/>
    <col width="10" customWidth="1" min="11" max="11"/>
    <col width="15" customWidth="1" min="12" max="12"/>
    <col width="9" customWidth="1" min="13" max="13"/>
    <col width="24" customWidth="1" min="14" max="14"/>
  </cols>
  <sheetData>
    <row r="1" ht="8" customHeight="1">
      <c r="A1" s="9" t="n"/>
      <c r="B1" s="10" t="inlineStr">
        <is>
          <t>‹ Dashboard</t>
        </is>
      </c>
      <c r="C1" s="10" t="inlineStr">
        <is>
          <t>‹ Start Here</t>
        </is>
      </c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</row>
    <row r="2" ht="30" customHeight="1">
      <c r="A2" s="9" t="n"/>
      <c r="B2" s="41" t="inlineStr">
        <is>
          <t>VENUE COMPARISON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20" customHeight="1">
      <c r="A3" s="16" t="n"/>
      <c r="B3" s="42" t="inlineStr">
        <is>
          <t>Compare every venue you toured, side by side.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</row>
    <row r="5">
      <c r="B5" s="43" t="inlineStr">
        <is>
          <t>Venue</t>
        </is>
      </c>
      <c r="C5" s="43" t="inlineStr">
        <is>
          <t>Location</t>
        </is>
      </c>
      <c r="D5" s="43" t="inlineStr">
        <is>
          <t>Capacity</t>
        </is>
      </c>
      <c r="E5" s="43" t="inlineStr">
        <is>
          <t>Rental Cost</t>
        </is>
      </c>
      <c r="F5" s="43" t="inlineStr">
        <is>
          <t>Catering Cost</t>
        </is>
      </c>
      <c r="G5" s="43" t="inlineStr">
        <is>
          <t>Deposit</t>
        </is>
      </c>
      <c r="H5" s="43" t="inlineStr">
        <is>
          <t>Availability</t>
        </is>
      </c>
      <c r="I5" s="43" t="inlineStr">
        <is>
          <t>Ceremony Included</t>
        </is>
      </c>
      <c r="J5" s="43" t="inlineStr">
        <is>
          <t>Reception Included</t>
        </is>
      </c>
      <c r="K5" s="43" t="inlineStr">
        <is>
          <t>Parking</t>
        </is>
      </c>
      <c r="L5" s="43" t="inlineStr">
        <is>
          <t>Accommodation</t>
        </is>
      </c>
      <c r="M5" s="43" t="inlineStr">
        <is>
          <t>Rating</t>
        </is>
      </c>
      <c r="N5" s="43" t="inlineStr">
        <is>
          <t>Notes</t>
        </is>
      </c>
    </row>
    <row r="6" ht="34" customHeight="1">
      <c r="B6" s="44" t="inlineStr">
        <is>
          <t>Silver Oak Estate</t>
        </is>
      </c>
      <c r="C6" s="44" t="inlineStr">
        <is>
          <t>Napa Valley, CA</t>
        </is>
      </c>
      <c r="D6" s="57" t="n">
        <v>180</v>
      </c>
      <c r="E6" s="46" t="n">
        <v>12000</v>
      </c>
      <c r="F6" s="46" t="n">
        <v>9500</v>
      </c>
      <c r="G6" s="46" t="n">
        <v>6000</v>
      </c>
      <c r="H6" s="48" t="inlineStr">
        <is>
          <t>Available</t>
        </is>
      </c>
      <c r="I6" s="48" t="inlineStr">
        <is>
          <t>Yes</t>
        </is>
      </c>
      <c r="J6" s="48" t="inlineStr">
        <is>
          <t>Yes</t>
        </is>
      </c>
      <c r="K6" s="48" t="inlineStr">
        <is>
          <t>Yes</t>
        </is>
      </c>
      <c r="L6" s="48" t="inlineStr">
        <is>
          <t>Yes</t>
        </is>
      </c>
      <c r="M6" s="48" t="n">
        <v>5</v>
      </c>
      <c r="N6" s="45" t="inlineStr">
        <is>
          <t>Selected venue — booked and deposit paid.</t>
        </is>
      </c>
    </row>
    <row r="7" ht="34" customHeight="1">
      <c r="B7" s="44" t="inlineStr">
        <is>
          <t>The Wilder Barn</t>
        </is>
      </c>
      <c r="C7" s="44" t="inlineStr">
        <is>
          <t>Sonoma, CA</t>
        </is>
      </c>
      <c r="D7" s="57" t="n">
        <v>150</v>
      </c>
      <c r="E7" s="46" t="n">
        <v>9500</v>
      </c>
      <c r="F7" s="46" t="n">
        <v>8800</v>
      </c>
      <c r="G7" s="46" t="n">
        <v>4500</v>
      </c>
      <c r="H7" s="48" t="inlineStr">
        <is>
          <t>Available</t>
        </is>
      </c>
      <c r="I7" s="48" t="inlineStr">
        <is>
          <t>Yes</t>
        </is>
      </c>
      <c r="J7" s="48" t="inlineStr">
        <is>
          <t>Yes</t>
        </is>
      </c>
      <c r="K7" s="48" t="inlineStr">
        <is>
          <t>Limited</t>
        </is>
      </c>
      <c r="L7" s="48" t="inlineStr">
        <is>
          <t>No</t>
        </is>
      </c>
      <c r="M7" s="48" t="n">
        <v>4</v>
      </c>
      <c r="N7" s="45" t="inlineStr">
        <is>
          <t>Rustic barn, strong runner-up.</t>
        </is>
      </c>
    </row>
    <row r="8" ht="34" customHeight="1">
      <c r="B8" s="44" t="inlineStr">
        <is>
          <t>Bellrose Gardens</t>
        </is>
      </c>
      <c r="C8" s="44" t="inlineStr">
        <is>
          <t>St. Helena, CA</t>
        </is>
      </c>
      <c r="D8" s="57" t="n">
        <v>200</v>
      </c>
      <c r="E8" s="46" t="n">
        <v>14500</v>
      </c>
      <c r="F8" s="46" t="n">
        <v>11000</v>
      </c>
      <c r="G8" s="46" t="n">
        <v>7000</v>
      </c>
      <c r="H8" s="48" t="inlineStr">
        <is>
          <t>Booked (Other Event)</t>
        </is>
      </c>
      <c r="I8" s="48" t="inlineStr">
        <is>
          <t>Yes</t>
        </is>
      </c>
      <c r="J8" s="48" t="inlineStr">
        <is>
          <t>Yes</t>
        </is>
      </c>
      <c r="K8" s="48" t="inlineStr">
        <is>
          <t>Yes</t>
        </is>
      </c>
      <c r="L8" s="48" t="inlineStr">
        <is>
          <t>Yes</t>
        </is>
      </c>
      <c r="M8" s="48" t="n">
        <v>5</v>
      </c>
      <c r="N8" s="45" t="inlineStr">
        <is>
          <t>Beautiful but unavailable on our date.</t>
        </is>
      </c>
    </row>
    <row r="9" ht="20" customHeight="1">
      <c r="B9" s="44" t="inlineStr">
        <is>
          <t>Ridgeview Terrace</t>
        </is>
      </c>
      <c r="C9" s="44" t="inlineStr">
        <is>
          <t>Calistoga, CA</t>
        </is>
      </c>
      <c r="D9" s="57" t="n">
        <v>120</v>
      </c>
      <c r="E9" s="46" t="n">
        <v>8200</v>
      </c>
      <c r="F9" s="46" t="n">
        <v>7600</v>
      </c>
      <c r="G9" s="46" t="n">
        <v>3800</v>
      </c>
      <c r="H9" s="48" t="inlineStr">
        <is>
          <t>Available</t>
        </is>
      </c>
      <c r="I9" s="48" t="inlineStr">
        <is>
          <t>No</t>
        </is>
      </c>
      <c r="J9" s="48" t="inlineStr">
        <is>
          <t>Yes</t>
        </is>
      </c>
      <c r="K9" s="48" t="inlineStr">
        <is>
          <t>Yes</t>
        </is>
      </c>
      <c r="L9" s="48" t="inlineStr">
        <is>
          <t>No</t>
        </is>
      </c>
      <c r="M9" s="48" t="n">
        <v>3</v>
      </c>
      <c r="N9" s="45" t="inlineStr">
        <is>
          <t>Ceremony space too small.</t>
        </is>
      </c>
    </row>
    <row r="10" ht="34" customHeight="1">
      <c r="B10" s="44" t="inlineStr">
        <is>
          <t>Orchard Hill Manor</t>
        </is>
      </c>
      <c r="C10" s="44" t="inlineStr">
        <is>
          <t>Yountville, CA</t>
        </is>
      </c>
      <c r="D10" s="57" t="n">
        <v>160</v>
      </c>
      <c r="E10" s="46" t="n">
        <v>11000</v>
      </c>
      <c r="F10" s="46" t="n">
        <v>9000</v>
      </c>
      <c r="G10" s="46" t="n">
        <v>5500</v>
      </c>
      <c r="H10" s="48" t="inlineStr">
        <is>
          <t>Available</t>
        </is>
      </c>
      <c r="I10" s="48" t="inlineStr">
        <is>
          <t>Yes</t>
        </is>
      </c>
      <c r="J10" s="48" t="inlineStr">
        <is>
          <t>Yes</t>
        </is>
      </c>
      <c r="K10" s="48" t="inlineStr">
        <is>
          <t>Yes</t>
        </is>
      </c>
      <c r="L10" s="48" t="inlineStr">
        <is>
          <t>Yes</t>
        </is>
      </c>
      <c r="M10" s="48" t="n">
        <v>4</v>
      </c>
      <c r="N10" s="45" t="inlineStr">
        <is>
          <t>Great option, slightly over budget.</t>
        </is>
      </c>
    </row>
    <row r="11" ht="20" customHeight="1">
      <c r="B11" s="44" t="n"/>
      <c r="C11" s="44" t="n"/>
      <c r="D11" s="57" t="n"/>
      <c r="E11" s="46" t="n"/>
      <c r="F11" s="46" t="n"/>
      <c r="G11" s="46" t="n"/>
      <c r="H11" s="48" t="n"/>
      <c r="I11" s="48" t="n"/>
      <c r="J11" s="48" t="n"/>
      <c r="K11" s="48" t="n"/>
      <c r="L11" s="48" t="n"/>
      <c r="M11" s="48" t="n"/>
      <c r="N11" s="45" t="n"/>
    </row>
    <row r="12" ht="20" customHeight="1">
      <c r="B12" s="44" t="n"/>
      <c r="C12" s="44" t="n"/>
      <c r="D12" s="57" t="n"/>
      <c r="E12" s="46" t="n"/>
      <c r="F12" s="46" t="n"/>
      <c r="G12" s="46" t="n"/>
      <c r="H12" s="48" t="n"/>
      <c r="I12" s="48" t="n"/>
      <c r="J12" s="48" t="n"/>
      <c r="K12" s="48" t="n"/>
      <c r="L12" s="48" t="n"/>
      <c r="M12" s="48" t="n"/>
      <c r="N12" s="45" t="n"/>
    </row>
    <row r="13" ht="20" customHeight="1">
      <c r="B13" s="44" t="n"/>
      <c r="C13" s="44" t="n"/>
      <c r="D13" s="57" t="n"/>
      <c r="E13" s="46" t="n"/>
      <c r="F13" s="46" t="n"/>
      <c r="G13" s="46" t="n"/>
      <c r="H13" s="48" t="n"/>
      <c r="I13" s="48" t="n"/>
      <c r="J13" s="48" t="n"/>
      <c r="K13" s="48" t="n"/>
      <c r="L13" s="48" t="n"/>
      <c r="M13" s="48" t="n"/>
      <c r="N13" s="45" t="n"/>
    </row>
    <row r="14" ht="20" customHeight="1">
      <c r="B14" s="44" t="n"/>
      <c r="C14" s="44" t="n"/>
      <c r="D14" s="57" t="n"/>
      <c r="E14" s="46" t="n"/>
      <c r="F14" s="46" t="n"/>
      <c r="G14" s="46" t="n"/>
      <c r="H14" s="48" t="n"/>
      <c r="I14" s="48" t="n"/>
      <c r="J14" s="48" t="n"/>
      <c r="K14" s="48" t="n"/>
      <c r="L14" s="48" t="n"/>
      <c r="M14" s="48" t="n"/>
      <c r="N14" s="45" t="n"/>
    </row>
    <row r="15" ht="20" customHeight="1">
      <c r="B15" s="44" t="n"/>
      <c r="C15" s="44" t="n"/>
      <c r="D15" s="57" t="n"/>
      <c r="E15" s="46" t="n"/>
      <c r="F15" s="46" t="n"/>
      <c r="G15" s="46" t="n"/>
      <c r="H15" s="48" t="n"/>
      <c r="I15" s="48" t="n"/>
      <c r="J15" s="48" t="n"/>
      <c r="K15" s="48" t="n"/>
      <c r="L15" s="48" t="n"/>
      <c r="M15" s="48" t="n"/>
      <c r="N15" s="45" t="n"/>
    </row>
  </sheetData>
  <dataValidations count="5">
    <dataValidation sqref="I6:I15" showDropDown="0" showInputMessage="0" showErrorMessage="0" allowBlank="1" errorTitle="Invalid entry" error="Please choose a value from the list." type="list">
      <formula1>Lists!$L$2:$L$3</formula1>
    </dataValidation>
    <dataValidation sqref="J6:J15" showDropDown="0" showInputMessage="0" showErrorMessage="0" allowBlank="1" errorTitle="Invalid entry" error="Please choose a value from the list." type="list">
      <formula1>Lists!$L$2:$L$3</formula1>
    </dataValidation>
    <dataValidation sqref="K6:K15" showDropDown="0" showInputMessage="0" showErrorMessage="0" allowBlank="1" errorTitle="Invalid entry" error="Please choose a value from the list." type="list">
      <formula1>Lists!$L$2:$L$3</formula1>
    </dataValidation>
    <dataValidation sqref="L6:L15" showDropDown="0" showInputMessage="0" showErrorMessage="0" allowBlank="1" errorTitle="Invalid entry" error="Please choose a value from the list." type="list">
      <formula1>Lists!$L$2:$L$3</formula1>
    </dataValidation>
    <dataValidation sqref="M6:M15" showDropDown="0" showInputMessage="0" showErrorMessage="0" allowBlank="1" errorTitle="Invalid entry" error="Please choose a value from the list." type="list">
      <formula1>Lists!$Q$2:$Q$6</formula1>
    </dataValidation>
  </dataValidations>
  <hyperlinks>
    <hyperlink ref="B1" location="'Dashboard'!A1"/>
    <hyperlink ref="C1" location="'START HERE'!A1"/>
  </hyperlinks>
  <pageMargins left="0.4" right="0.4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C98F91"/>
    <outlinePr summaryBelow="1" summaryRight="1"/>
    <pageSetUpPr fitToPage="1"/>
  </sheetPr>
  <dimension ref="A1:I34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28" customWidth="1" min="3" max="3"/>
    <col width="16" customWidth="1" min="4" max="4"/>
    <col width="10" customWidth="1" min="5" max="5"/>
    <col width="11" customWidth="1" min="6" max="6"/>
    <col width="13" customWidth="1" min="7" max="7"/>
    <col width="18" customWidth="1" min="8" max="8"/>
    <col width="20" customWidth="1" min="9" max="9"/>
  </cols>
  <sheetData>
    <row r="1" ht="8" customHeight="1">
      <c r="A1" s="9" t="n"/>
      <c r="B1" s="10" t="inlineStr">
        <is>
          <t>‹ Dashboard</t>
        </is>
      </c>
      <c r="C1" s="10" t="inlineStr">
        <is>
          <t>‹ Start Here</t>
        </is>
      </c>
      <c r="D1" s="9" t="n"/>
      <c r="E1" s="9" t="n"/>
      <c r="F1" s="9" t="n"/>
      <c r="G1" s="9" t="n"/>
      <c r="H1" s="9" t="n"/>
      <c r="I1" s="9" t="n"/>
    </row>
    <row r="2" ht="30" customHeight="1">
      <c r="A2" s="9" t="n"/>
      <c r="B2" s="41" t="inlineStr">
        <is>
          <t>FOOD &amp; DRINKS</t>
        </is>
      </c>
      <c r="C2" s="9" t="n"/>
      <c r="D2" s="9" t="n"/>
      <c r="E2" s="9" t="n"/>
      <c r="F2" s="9" t="n"/>
      <c r="G2" s="9" t="n"/>
      <c r="H2" s="9" t="n"/>
      <c r="I2" s="9" t="n"/>
    </row>
    <row r="3" ht="20" customHeight="1">
      <c r="A3" s="16" t="n"/>
      <c r="B3" s="42" t="inlineStr">
        <is>
          <t>Plan your menu, portions and per-guest cost.</t>
        </is>
      </c>
      <c r="C3" s="16" t="n"/>
      <c r="D3" s="16" t="n"/>
      <c r="E3" s="16" t="n"/>
      <c r="F3" s="16" t="n"/>
      <c r="G3" s="16" t="n"/>
      <c r="H3" s="16" t="n"/>
      <c r="I3" s="16" t="n"/>
    </row>
    <row r="5">
      <c r="B5" s="43" t="inlineStr">
        <is>
          <t>Catering Vendor</t>
        </is>
      </c>
      <c r="C5" s="43" t="inlineStr">
        <is>
          <t>Menu Item</t>
        </is>
      </c>
      <c r="D5" s="43" t="inlineStr">
        <is>
          <t>Category</t>
        </is>
      </c>
      <c r="E5" s="43" t="inlineStr">
        <is>
          <t>Quantity</t>
        </is>
      </c>
      <c r="F5" s="43" t="inlineStr">
        <is>
          <t>Price</t>
        </is>
      </c>
      <c r="G5" s="43" t="inlineStr">
        <is>
          <t>Total</t>
        </is>
      </c>
      <c r="H5" s="43" t="inlineStr">
        <is>
          <t>Dietary Notes</t>
        </is>
      </c>
      <c r="I5" s="43" t="inlineStr">
        <is>
          <t>Notes</t>
        </is>
      </c>
    </row>
    <row r="6" ht="20" customHeight="1">
      <c r="B6" s="44" t="inlineStr">
        <is>
          <t>Harvest Table Catering</t>
        </is>
      </c>
      <c r="C6" s="45" t="inlineStr">
        <is>
          <t>Herb-Crusted Goat Cheese Tartlet</t>
        </is>
      </c>
      <c r="D6" s="48" t="inlineStr">
        <is>
          <t>Appetizers</t>
        </is>
      </c>
      <c r="E6" s="57" t="n">
        <v>150</v>
      </c>
      <c r="F6" s="46" t="n">
        <v>4.5</v>
      </c>
      <c r="G6" s="46">
        <f>IF(E6="","",E6*F6)</f>
        <v/>
      </c>
      <c r="H6" s="44" t="inlineStr">
        <is>
          <t>Vegetarian</t>
        </is>
      </c>
      <c r="I6" s="45" t="inlineStr">
        <is>
          <t>Crowd favorite</t>
        </is>
      </c>
    </row>
    <row r="7" ht="34" customHeight="1">
      <c r="B7" s="44" t="inlineStr">
        <is>
          <t>Harvest Table Catering</t>
        </is>
      </c>
      <c r="C7" s="45" t="inlineStr">
        <is>
          <t>Seared Scallop, Citrus Beurre Blanc</t>
        </is>
      </c>
      <c r="D7" s="48" t="inlineStr">
        <is>
          <t>Appetizers</t>
        </is>
      </c>
      <c r="E7" s="57" t="n">
        <v>150</v>
      </c>
      <c r="F7" s="46" t="n">
        <v>6</v>
      </c>
      <c r="G7" s="46">
        <f>IF(E7="","",E7*F7)</f>
        <v/>
      </c>
      <c r="H7" s="44" t="inlineStr">
        <is>
          <t>Contains Shellfish</t>
        </is>
      </c>
      <c r="I7" s="45" t="inlineStr"/>
    </row>
    <row r="8" ht="34" customHeight="1">
      <c r="B8" s="44" t="inlineStr">
        <is>
          <t>Harvest Table Catering</t>
        </is>
      </c>
      <c r="C8" s="45" t="inlineStr">
        <is>
          <t>Grilled Filet Mignon, Red Wine Jus</t>
        </is>
      </c>
      <c r="D8" s="48" t="inlineStr">
        <is>
          <t>Main Course</t>
        </is>
      </c>
      <c r="E8" s="57" t="n">
        <v>90</v>
      </c>
      <c r="F8" s="46" t="n">
        <v>38</v>
      </c>
      <c r="G8" s="46">
        <f>IF(E8="","",E8*F8)</f>
        <v/>
      </c>
      <c r="H8" s="44" t="inlineStr">
        <is>
          <t>Gluten-Free Option</t>
        </is>
      </c>
      <c r="I8" s="45" t="inlineStr">
        <is>
          <t>Most popular entrée</t>
        </is>
      </c>
    </row>
    <row r="9" ht="20" customHeight="1">
      <c r="B9" s="44" t="inlineStr">
        <is>
          <t>Harvest Table Catering</t>
        </is>
      </c>
      <c r="C9" s="45" t="inlineStr">
        <is>
          <t>Pan-Seared Salmon, Lemon Dill</t>
        </is>
      </c>
      <c r="D9" s="48" t="inlineStr">
        <is>
          <t>Main Course</t>
        </is>
      </c>
      <c r="E9" s="57" t="n">
        <v>45</v>
      </c>
      <c r="F9" s="46" t="n">
        <v>32</v>
      </c>
      <c r="G9" s="46">
        <f>IF(E9="","",E9*F9)</f>
        <v/>
      </c>
      <c r="H9" s="44" t="inlineStr">
        <is>
          <t>Gluten-Free</t>
        </is>
      </c>
      <c r="I9" s="45" t="inlineStr"/>
    </row>
    <row r="10" ht="20" customHeight="1">
      <c r="B10" s="44" t="inlineStr">
        <is>
          <t>Harvest Table Catering</t>
        </is>
      </c>
      <c r="C10" s="45" t="inlineStr">
        <is>
          <t>Wild Mushroom Risotto</t>
        </is>
      </c>
      <c r="D10" s="48" t="inlineStr">
        <is>
          <t>Main Course</t>
        </is>
      </c>
      <c r="E10" s="57" t="n">
        <v>30</v>
      </c>
      <c r="F10" s="46" t="n">
        <v>26</v>
      </c>
      <c r="G10" s="46">
        <f>IF(E10="","",E10*F10)</f>
        <v/>
      </c>
      <c r="H10" s="44" t="inlineStr">
        <is>
          <t>Vegetarian, Vegan Option</t>
        </is>
      </c>
      <c r="I10" s="45" t="inlineStr"/>
    </row>
    <row r="11" ht="20" customHeight="1">
      <c r="B11" s="44" t="inlineStr">
        <is>
          <t>Harvest Table Catering</t>
        </is>
      </c>
      <c r="C11" s="45" t="inlineStr">
        <is>
          <t>Herb Roasted Chicken</t>
        </is>
      </c>
      <c r="D11" s="48" t="inlineStr">
        <is>
          <t>Main Course</t>
        </is>
      </c>
      <c r="E11" s="57" t="n">
        <v>15</v>
      </c>
      <c r="F11" s="46" t="n">
        <v>28</v>
      </c>
      <c r="G11" s="46">
        <f>IF(E11="","",E11*F11)</f>
        <v/>
      </c>
      <c r="H11" s="44" t="inlineStr">
        <is>
          <t>Gluten-Free</t>
        </is>
      </c>
      <c r="I11" s="45" t="inlineStr">
        <is>
          <t>Kids meal base</t>
        </is>
      </c>
    </row>
    <row r="12" ht="20" customHeight="1">
      <c r="B12" s="44" t="inlineStr">
        <is>
          <t>Sugar &amp; Sage Bakery</t>
        </is>
      </c>
      <c r="C12" s="45" t="inlineStr">
        <is>
          <t>Vanilla Bean Dessert Bites</t>
        </is>
      </c>
      <c r="D12" s="48" t="inlineStr">
        <is>
          <t>Dessert</t>
        </is>
      </c>
      <c r="E12" s="57" t="n">
        <v>150</v>
      </c>
      <c r="F12" s="46" t="n">
        <v>3</v>
      </c>
      <c r="G12" s="46">
        <f>IF(E12="","",E12*F12)</f>
        <v/>
      </c>
      <c r="H12" s="44" t="inlineStr">
        <is>
          <t>Contains Nuts</t>
        </is>
      </c>
      <c r="I12" s="45" t="inlineStr"/>
    </row>
    <row r="13" ht="20" customHeight="1">
      <c r="B13" s="44" t="inlineStr">
        <is>
          <t>Sugar &amp; Sage Bakery</t>
        </is>
      </c>
      <c r="C13" s="45" t="inlineStr">
        <is>
          <t>Chocolate Salted Caramel Tart</t>
        </is>
      </c>
      <c r="D13" s="48" t="inlineStr">
        <is>
          <t>Dessert</t>
        </is>
      </c>
      <c r="E13" s="57" t="n">
        <v>150</v>
      </c>
      <c r="F13" s="46" t="n">
        <v>3.5</v>
      </c>
      <c r="G13" s="46">
        <f>IF(E13="","",E13*F13)</f>
        <v/>
      </c>
      <c r="H13" s="44" t="inlineStr"/>
      <c r="I13" s="45" t="inlineStr"/>
    </row>
    <row r="14" ht="34" customHeight="1">
      <c r="B14" s="44" t="inlineStr">
        <is>
          <t>Sugar &amp; Sage Bakery</t>
        </is>
      </c>
      <c r="C14" s="45" t="inlineStr">
        <is>
          <t>4-Tier Wedding Cake (Vanilla &amp; Lemon)</t>
        </is>
      </c>
      <c r="D14" s="48" t="inlineStr">
        <is>
          <t>Cake</t>
        </is>
      </c>
      <c r="E14" s="57" t="n">
        <v>150</v>
      </c>
      <c r="F14" s="46" t="n">
        <v>7.5</v>
      </c>
      <c r="G14" s="46">
        <f>IF(E14="","",E14*F14)</f>
        <v/>
      </c>
      <c r="H14" s="44" t="inlineStr"/>
      <c r="I14" s="45" t="inlineStr">
        <is>
          <t>Featured dessert table centerpiece</t>
        </is>
      </c>
    </row>
    <row r="15" ht="34" customHeight="1">
      <c r="B15" s="44" t="inlineStr">
        <is>
          <t>Harvest Table Catering</t>
        </is>
      </c>
      <c r="C15" s="45" t="inlineStr">
        <is>
          <t>Signature Cocktail — Lavender Gin Fizz</t>
        </is>
      </c>
      <c r="D15" s="48" t="inlineStr">
        <is>
          <t>Drinks</t>
        </is>
      </c>
      <c r="E15" s="57" t="n">
        <v>150</v>
      </c>
      <c r="F15" s="46" t="n">
        <v>12</v>
      </c>
      <c r="G15" s="46">
        <f>IF(E15="","",E15*F15)</f>
        <v/>
      </c>
      <c r="H15" s="44" t="inlineStr"/>
      <c r="I15" s="45" t="inlineStr">
        <is>
          <t>Named after the couple</t>
        </is>
      </c>
    </row>
    <row r="16" ht="20" customHeight="1">
      <c r="B16" s="44" t="inlineStr">
        <is>
          <t>Harvest Table Catering</t>
        </is>
      </c>
      <c r="C16" s="45" t="inlineStr">
        <is>
          <t>Wine Service (Red &amp; White)</t>
        </is>
      </c>
      <c r="D16" s="48" t="inlineStr">
        <is>
          <t>Drinks</t>
        </is>
      </c>
      <c r="E16" s="57" t="n">
        <v>150</v>
      </c>
      <c r="F16" s="46" t="n">
        <v>18</v>
      </c>
      <c r="G16" s="46">
        <f>IF(E16="","",E16*F16)</f>
        <v/>
      </c>
      <c r="H16" s="44" t="inlineStr"/>
      <c r="I16" s="45" t="inlineStr">
        <is>
          <t>Local Napa selections</t>
        </is>
      </c>
    </row>
    <row r="17" ht="20" customHeight="1">
      <c r="B17" s="44" t="inlineStr">
        <is>
          <t>Harvest Table Catering</t>
        </is>
      </c>
      <c r="C17" s="45" t="inlineStr">
        <is>
          <t>Non-Alcoholic Bar</t>
        </is>
      </c>
      <c r="D17" s="48" t="inlineStr">
        <is>
          <t>Drinks</t>
        </is>
      </c>
      <c r="E17" s="57" t="n">
        <v>150</v>
      </c>
      <c r="F17" s="46" t="n">
        <v>6</v>
      </c>
      <c r="G17" s="46">
        <f>IF(E17="","",E17*F17)</f>
        <v/>
      </c>
      <c r="H17" s="44" t="inlineStr"/>
      <c r="I17" s="45" t="inlineStr"/>
    </row>
    <row r="18" ht="20" customHeight="1">
      <c r="B18" s="44" t="inlineStr">
        <is>
          <t>Harvest Table Catering</t>
        </is>
      </c>
      <c r="C18" s="45" t="inlineStr">
        <is>
          <t>Late Night Slider Station</t>
        </is>
      </c>
      <c r="D18" s="48" t="inlineStr">
        <is>
          <t>Late Night Food</t>
        </is>
      </c>
      <c r="E18" s="57" t="n">
        <v>120</v>
      </c>
      <c r="F18" s="46" t="n">
        <v>8</v>
      </c>
      <c r="G18" s="46">
        <f>IF(E18="","",E18*F18)</f>
        <v/>
      </c>
      <c r="H18" s="44" t="inlineStr"/>
      <c r="I18" s="45" t="inlineStr">
        <is>
          <t>Served at 10pm</t>
        </is>
      </c>
    </row>
    <row r="19" ht="20" customHeight="1">
      <c r="B19" s="44" t="inlineStr">
        <is>
          <t>Harvest Table Catering</t>
        </is>
      </c>
      <c r="C19" s="45" t="inlineStr">
        <is>
          <t>Late Night Popcorn Bar</t>
        </is>
      </c>
      <c r="D19" s="48" t="inlineStr">
        <is>
          <t>Late Night Food</t>
        </is>
      </c>
      <c r="E19" s="57" t="n">
        <v>120</v>
      </c>
      <c r="F19" s="46" t="n">
        <v>3</v>
      </c>
      <c r="G19" s="46">
        <f>IF(E19="","",E19*F19)</f>
        <v/>
      </c>
      <c r="H19" s="44" t="inlineStr"/>
      <c r="I19" s="45" t="inlineStr"/>
    </row>
    <row r="20" ht="20" customHeight="1">
      <c r="B20" s="44" t="n"/>
      <c r="C20" s="45" t="n"/>
      <c r="D20" s="48" t="n"/>
      <c r="E20" s="57" t="n"/>
      <c r="F20" s="46" t="n"/>
      <c r="G20" s="46">
        <f>IF(E20="","",E20*F20)</f>
        <v/>
      </c>
      <c r="H20" s="44" t="n"/>
      <c r="I20" s="45" t="n"/>
    </row>
    <row r="21" ht="20" customHeight="1">
      <c r="B21" s="44" t="n"/>
      <c r="C21" s="45" t="n"/>
      <c r="D21" s="48" t="n"/>
      <c r="E21" s="57" t="n"/>
      <c r="F21" s="46" t="n"/>
      <c r="G21" s="46">
        <f>IF(E21="","",E21*F21)</f>
        <v/>
      </c>
      <c r="H21" s="44" t="n"/>
      <c r="I21" s="45" t="n"/>
    </row>
    <row r="22" ht="20" customHeight="1">
      <c r="B22" s="44" t="n"/>
      <c r="C22" s="45" t="n"/>
      <c r="D22" s="48" t="n"/>
      <c r="E22" s="57" t="n"/>
      <c r="F22" s="46" t="n"/>
      <c r="G22" s="46">
        <f>IF(E22="","",E22*F22)</f>
        <v/>
      </c>
      <c r="H22" s="44" t="n"/>
      <c r="I22" s="45" t="n"/>
    </row>
    <row r="23" ht="20" customHeight="1">
      <c r="B23" s="44" t="n"/>
      <c r="C23" s="45" t="n"/>
      <c r="D23" s="48" t="n"/>
      <c r="E23" s="57" t="n"/>
      <c r="F23" s="46" t="n"/>
      <c r="G23" s="46">
        <f>IF(E23="","",E23*F23)</f>
        <v/>
      </c>
      <c r="H23" s="44" t="n"/>
      <c r="I23" s="45" t="n"/>
    </row>
    <row r="24" ht="20" customHeight="1">
      <c r="B24" s="44" t="n"/>
      <c r="C24" s="45" t="n"/>
      <c r="D24" s="48" t="n"/>
      <c r="E24" s="57" t="n"/>
      <c r="F24" s="46" t="n"/>
      <c r="G24" s="46">
        <f>IF(E24="","",E24*F24)</f>
        <v/>
      </c>
      <c r="H24" s="44" t="n"/>
      <c r="I24" s="45" t="n"/>
    </row>
    <row r="25" ht="20" customHeight="1">
      <c r="B25" s="44" t="n"/>
      <c r="C25" s="45" t="n"/>
      <c r="D25" s="48" t="n"/>
      <c r="E25" s="57" t="n"/>
      <c r="F25" s="46" t="n"/>
      <c r="G25" s="46">
        <f>IF(E25="","",E25*F25)</f>
        <v/>
      </c>
      <c r="H25" s="44" t="n"/>
      <c r="I25" s="45" t="n"/>
    </row>
    <row r="26" ht="20" customHeight="1">
      <c r="B26" s="44" t="n"/>
      <c r="C26" s="45" t="n"/>
      <c r="D26" s="48" t="n"/>
      <c r="E26" s="57" t="n"/>
      <c r="F26" s="46" t="n"/>
      <c r="G26" s="46">
        <f>IF(E26="","",E26*F26)</f>
        <v/>
      </c>
      <c r="H26" s="44" t="n"/>
      <c r="I26" s="45" t="n"/>
    </row>
    <row r="27" ht="20" customHeight="1">
      <c r="B27" s="44" t="n"/>
      <c r="C27" s="45" t="n"/>
      <c r="D27" s="48" t="n"/>
      <c r="E27" s="57" t="n"/>
      <c r="F27" s="46" t="n"/>
      <c r="G27" s="46">
        <f>IF(E27="","",E27*F27)</f>
        <v/>
      </c>
      <c r="H27" s="44" t="n"/>
      <c r="I27" s="45" t="n"/>
    </row>
    <row r="28" ht="20" customHeight="1">
      <c r="B28" s="44" t="n"/>
      <c r="C28" s="45" t="n"/>
      <c r="D28" s="48" t="n"/>
      <c r="E28" s="57" t="n"/>
      <c r="F28" s="46" t="n"/>
      <c r="G28" s="46">
        <f>IF(E28="","",E28*F28)</f>
        <v/>
      </c>
      <c r="H28" s="44" t="n"/>
      <c r="I28" s="45" t="n"/>
    </row>
    <row r="29" ht="20" customHeight="1">
      <c r="B29" s="44" t="n"/>
      <c r="C29" s="45" t="n"/>
      <c r="D29" s="48" t="n"/>
      <c r="E29" s="57" t="n"/>
      <c r="F29" s="46" t="n"/>
      <c r="G29" s="46">
        <f>IF(E29="","",E29*F29)</f>
        <v/>
      </c>
      <c r="H29" s="44" t="n"/>
      <c r="I29" s="45" t="n"/>
    </row>
    <row r="31">
      <c r="B31" s="5" t="inlineStr">
        <is>
          <t>MENU SUMMARY</t>
        </is>
      </c>
    </row>
    <row r="32">
      <c r="B32" s="18">
        <f>SUM(G6:G29)</f>
        <v/>
      </c>
      <c r="C32" s="19" t="n"/>
      <c r="D32" s="20" t="n"/>
    </row>
    <row r="33">
      <c r="B33" s="30" t="n"/>
      <c r="C33" s="31" t="n"/>
      <c r="D33" s="32" t="n"/>
    </row>
    <row r="34">
      <c r="B34" s="33" t="inlineStr">
        <is>
          <t>TOTAL MENU COST</t>
        </is>
      </c>
      <c r="C34" s="34" t="n"/>
      <c r="D34" s="35" t="n"/>
    </row>
  </sheetData>
  <mergeCells count="2">
    <mergeCell ref="B32:D33"/>
    <mergeCell ref="B34:D34"/>
  </mergeCells>
  <dataValidations count="1">
    <dataValidation sqref="D6:D29" showDropDown="0" showInputMessage="0" showErrorMessage="0" allowBlank="1" errorTitle="Invalid entry" error="Please choose a value from the list." type="list">
      <formula1>Lists!$O$2:$O$7</formula1>
    </dataValidation>
  </dataValidations>
  <hyperlinks>
    <hyperlink ref="B1" location="'Dashboard'!A1"/>
    <hyperlink ref="C1" location="'START HERE'!A1"/>
  </hyperlinks>
  <pageMargins left="0.4" right="0.4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C98F91"/>
    <outlinePr summaryBelow="1" summaryRight="1"/>
    <pageSetUpPr fitToPage="1"/>
  </sheetPr>
  <dimension ref="A1:J20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6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22" customWidth="1" min="9" max="9"/>
  </cols>
  <sheetData>
    <row r="1" ht="8" customHeight="1">
      <c r="A1" s="9" t="n"/>
      <c r="B1" s="10" t="inlineStr">
        <is>
          <t>‹ Dashboard</t>
        </is>
      </c>
      <c r="C1" s="10" t="inlineStr">
        <is>
          <t>‹ Start Here</t>
        </is>
      </c>
      <c r="D1" s="9" t="n"/>
      <c r="E1" s="9" t="n"/>
      <c r="F1" s="9" t="n"/>
      <c r="G1" s="9" t="n"/>
      <c r="H1" s="9" t="n"/>
      <c r="I1" s="9" t="n"/>
    </row>
    <row r="2" ht="30" customHeight="1">
      <c r="A2" s="9" t="n"/>
      <c r="B2" s="41" t="inlineStr">
        <is>
          <t>HONEYMOON BUDGET</t>
        </is>
      </c>
      <c r="C2" s="9" t="n"/>
      <c r="D2" s="9" t="n"/>
      <c r="E2" s="9" t="n"/>
      <c r="F2" s="9" t="n"/>
      <c r="G2" s="9" t="n"/>
      <c r="H2" s="9" t="n"/>
      <c r="I2" s="9" t="n"/>
    </row>
    <row r="3" ht="20" customHeight="1">
      <c r="A3" s="16" t="n"/>
      <c r="B3" s="42" t="inlineStr">
        <is>
          <t>Plan and track spending for your post-wedding getaway.</t>
        </is>
      </c>
      <c r="C3" s="16" t="n"/>
      <c r="D3" s="16" t="n"/>
      <c r="E3" s="16" t="n"/>
      <c r="F3" s="16" t="n"/>
      <c r="G3" s="16" t="n"/>
      <c r="H3" s="16" t="n"/>
      <c r="I3" s="16" t="n"/>
    </row>
    <row r="5">
      <c r="B5" s="43" t="inlineStr">
        <is>
          <t>Category</t>
        </is>
      </c>
      <c r="C5" s="43" t="inlineStr">
        <is>
          <t>Planned Budget</t>
        </is>
      </c>
      <c r="D5" s="43" t="inlineStr">
        <is>
          <t>Actual Cost</t>
        </is>
      </c>
      <c r="E5" s="43" t="inlineStr">
        <is>
          <t>Difference</t>
        </is>
      </c>
      <c r="F5" s="43" t="inlineStr">
        <is>
          <t>Amount Paid</t>
        </is>
      </c>
      <c r="G5" s="43" t="inlineStr">
        <is>
          <t>Remaining</t>
        </is>
      </c>
      <c r="H5" s="43" t="inlineStr">
        <is>
          <t>Due Date</t>
        </is>
      </c>
      <c r="I5" s="43" t="inlineStr">
        <is>
          <t>Notes</t>
        </is>
      </c>
    </row>
    <row r="6" ht="20" customHeight="1">
      <c r="B6" s="44" t="inlineStr">
        <is>
          <t>Flights</t>
        </is>
      </c>
      <c r="C6" s="46" t="n">
        <v>1800</v>
      </c>
      <c r="D6" s="46" t="n">
        <v>1750</v>
      </c>
      <c r="E6" s="46">
        <f>IF(C6="","",C6-D6)</f>
        <v/>
      </c>
      <c r="F6" s="46" t="n">
        <v>1750</v>
      </c>
      <c r="G6" s="46">
        <f>IF(D6="","",D6-F6)</f>
        <v/>
      </c>
      <c r="H6" s="47" t="inlineStr">
        <is>
          <t>2027-06-01</t>
        </is>
      </c>
      <c r="I6" s="45" t="inlineStr"/>
    </row>
    <row r="7" ht="20" customHeight="1">
      <c r="B7" s="44" t="inlineStr">
        <is>
          <t>Hotel</t>
        </is>
      </c>
      <c r="C7" s="46" t="n">
        <v>3200</v>
      </c>
      <c r="D7" s="46" t="n">
        <v>2900</v>
      </c>
      <c r="E7" s="46">
        <f>IF(C7="","",C7-D7)</f>
        <v/>
      </c>
      <c r="F7" s="46" t="n">
        <v>1500</v>
      </c>
      <c r="G7" s="46">
        <f>IF(D7="","",D7-F7)</f>
        <v/>
      </c>
      <c r="H7" s="47" t="inlineStr">
        <is>
          <t>2027-06-20</t>
        </is>
      </c>
      <c r="I7" s="45" t="inlineStr"/>
    </row>
    <row r="8" ht="20" customHeight="1">
      <c r="B8" s="44" t="inlineStr">
        <is>
          <t>Transportation</t>
        </is>
      </c>
      <c r="C8" s="46" t="n">
        <v>400</v>
      </c>
      <c r="D8" s="46" t="n">
        <v>380</v>
      </c>
      <c r="E8" s="46">
        <f>IF(C8="","",C8-D8)</f>
        <v/>
      </c>
      <c r="F8" s="46" t="n">
        <v>380</v>
      </c>
      <c r="G8" s="46">
        <f>IF(D8="","",D8-F8)</f>
        <v/>
      </c>
      <c r="H8" s="47" t="inlineStr">
        <is>
          <t>2027-06-05</t>
        </is>
      </c>
      <c r="I8" s="45" t="inlineStr"/>
    </row>
    <row r="9" ht="20" customHeight="1">
      <c r="B9" s="44" t="inlineStr">
        <is>
          <t>Food</t>
        </is>
      </c>
      <c r="C9" s="46" t="n">
        <v>1200</v>
      </c>
      <c r="D9" s="46" t="n">
        <v>900</v>
      </c>
      <c r="E9" s="46">
        <f>IF(C9="","",C9-D9)</f>
        <v/>
      </c>
      <c r="F9" s="46" t="n">
        <v>300</v>
      </c>
      <c r="G9" s="46">
        <f>IF(D9="","",D9-F9)</f>
        <v/>
      </c>
      <c r="H9" s="47" t="inlineStr">
        <is>
          <t>2027-06-25</t>
        </is>
      </c>
      <c r="I9" s="45" t="inlineStr"/>
    </row>
    <row r="10" ht="20" customHeight="1">
      <c r="B10" s="44" t="inlineStr">
        <is>
          <t>Activities</t>
        </is>
      </c>
      <c r="C10" s="46" t="n">
        <v>900</v>
      </c>
      <c r="D10" s="46" t="n">
        <v>320</v>
      </c>
      <c r="E10" s="46">
        <f>IF(C10="","",C10-D10)</f>
        <v/>
      </c>
      <c r="F10" s="46" t="n">
        <v>100</v>
      </c>
      <c r="G10" s="46">
        <f>IF(D10="","",D10-F10)</f>
        <v/>
      </c>
      <c r="H10" s="47" t="inlineStr">
        <is>
          <t>2027-06-25</t>
        </is>
      </c>
      <c r="I10" s="45" t="inlineStr"/>
    </row>
    <row r="11" ht="20" customHeight="1">
      <c r="B11" s="44" t="inlineStr">
        <is>
          <t>Shopping</t>
        </is>
      </c>
      <c r="C11" s="46" t="n">
        <v>300</v>
      </c>
      <c r="D11" s="46" t="n">
        <v>200</v>
      </c>
      <c r="E11" s="46">
        <f>IF(C11="","",C11-D11)</f>
        <v/>
      </c>
      <c r="F11" s="46" t="n">
        <v>0</v>
      </c>
      <c r="G11" s="46">
        <f>IF(D11="","",D11-F11)</f>
        <v/>
      </c>
      <c r="H11" s="47" t="inlineStr">
        <is>
          <t>2027-06-25</t>
        </is>
      </c>
      <c r="I11" s="45" t="inlineStr"/>
    </row>
    <row r="12" ht="20" customHeight="1">
      <c r="B12" s="44" t="inlineStr">
        <is>
          <t>Travel Insurance</t>
        </is>
      </c>
      <c r="C12" s="46" t="n">
        <v>150</v>
      </c>
      <c r="D12" s="46" t="n">
        <v>150</v>
      </c>
      <c r="E12" s="46">
        <f>IF(C12="","",C12-D12)</f>
        <v/>
      </c>
      <c r="F12" s="46" t="n">
        <v>150</v>
      </c>
      <c r="G12" s="46">
        <f>IF(D12="","",D12-F12)</f>
        <v/>
      </c>
      <c r="H12" s="47" t="inlineStr">
        <is>
          <t>2027-05-15</t>
        </is>
      </c>
      <c r="I12" s="45" t="inlineStr"/>
    </row>
    <row r="13" ht="20" customHeight="1">
      <c r="B13" s="44" t="inlineStr">
        <is>
          <t>Miscellaneous</t>
        </is>
      </c>
      <c r="C13" s="46" t="n">
        <v>50</v>
      </c>
      <c r="D13" s="46" t="n">
        <v>0</v>
      </c>
      <c r="E13" s="46">
        <f>IF(C13="","",C13-D13)</f>
        <v/>
      </c>
      <c r="F13" s="46" t="n">
        <v>0</v>
      </c>
      <c r="G13" s="46">
        <f>IF(D13="","",D13-F13)</f>
        <v/>
      </c>
      <c r="H13" s="47" t="inlineStr">
        <is>
          <t>2027-06-25</t>
        </is>
      </c>
      <c r="I13" s="45" t="inlineStr"/>
    </row>
    <row r="14" ht="20" customHeight="1">
      <c r="B14" s="44" t="n"/>
      <c r="C14" s="46" t="n"/>
      <c r="D14" s="46" t="n"/>
      <c r="E14" s="46">
        <f>IF(C14="","",C14-D14)</f>
        <v/>
      </c>
      <c r="F14" s="46" t="n"/>
      <c r="G14" s="46">
        <f>IF(D14="","",D14-F14)</f>
        <v/>
      </c>
      <c r="H14" s="47" t="n"/>
      <c r="I14" s="45" t="n"/>
    </row>
    <row r="15" ht="20" customHeight="1">
      <c r="B15" s="44" t="n"/>
      <c r="C15" s="46" t="n"/>
      <c r="D15" s="46" t="n"/>
      <c r="E15" s="46">
        <f>IF(C15="","",C15-D15)</f>
        <v/>
      </c>
      <c r="F15" s="46" t="n"/>
      <c r="G15" s="46">
        <f>IF(D15="","",D15-F15)</f>
        <v/>
      </c>
      <c r="H15" s="47" t="n"/>
      <c r="I15" s="45" t="n"/>
    </row>
    <row r="17">
      <c r="B17" s="5" t="inlineStr">
        <is>
          <t>HONEYMOON SUMMARY</t>
        </is>
      </c>
    </row>
    <row r="18">
      <c r="B18" s="18">
        <f>SUM(C6:C15)</f>
        <v/>
      </c>
      <c r="C18" s="19" t="n"/>
      <c r="D18" s="20" t="n"/>
      <c r="E18" s="18">
        <f>SUM(D6:D15)</f>
        <v/>
      </c>
      <c r="F18" s="19" t="n"/>
      <c r="G18" s="20" t="n"/>
      <c r="H18" s="18">
        <f>SUM(G6:G15)</f>
        <v/>
      </c>
      <c r="I18" s="19" t="n"/>
      <c r="J18" s="20" t="n"/>
    </row>
    <row r="19">
      <c r="B19" s="30" t="n"/>
      <c r="C19" s="31" t="n"/>
      <c r="D19" s="32" t="n"/>
      <c r="E19" s="30" t="n"/>
      <c r="F19" s="31" t="n"/>
      <c r="G19" s="32" t="n"/>
      <c r="H19" s="30" t="n"/>
      <c r="I19" s="31" t="n"/>
      <c r="J19" s="32" t="n"/>
    </row>
    <row r="20">
      <c r="B20" s="33" t="inlineStr">
        <is>
          <t>PLANNED TOTAL</t>
        </is>
      </c>
      <c r="C20" s="34" t="n"/>
      <c r="D20" s="35" t="n"/>
      <c r="E20" s="33" t="inlineStr">
        <is>
          <t>ACTUAL TOTAL</t>
        </is>
      </c>
      <c r="F20" s="34" t="n"/>
      <c r="G20" s="35" t="n"/>
      <c r="H20" s="33" t="inlineStr">
        <is>
          <t>REMAINING</t>
        </is>
      </c>
      <c r="I20" s="34" t="n"/>
      <c r="J20" s="35" t="n"/>
    </row>
  </sheetData>
  <mergeCells count="6">
    <mergeCell ref="H18:J19"/>
    <mergeCell ref="B18:D19"/>
    <mergeCell ref="E18:G19"/>
    <mergeCell ref="E20:G20"/>
    <mergeCell ref="B20:D20"/>
    <mergeCell ref="H20:J20"/>
  </mergeCells>
  <dataValidations count="1">
    <dataValidation sqref="B6:B15" showDropDown="0" showInputMessage="0" showErrorMessage="0" allowBlank="1" errorTitle="Invalid entry" error="Please choose a value from the list." type="list">
      <formula1>Lists!$P$2:$P$9</formula1>
    </dataValidation>
  </dataValidations>
  <hyperlinks>
    <hyperlink ref="B1" location="'Dashboard'!A1"/>
    <hyperlink ref="C1" location="'START HERE'!A1"/>
  </hyperlinks>
  <pageMargins left="0.4" right="0.4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C98F91"/>
    <outlinePr summaryBelow="1" summaryRight="1"/>
    <pageSetUpPr fitToPage="1"/>
  </sheetPr>
  <dimension ref="A1:J25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2" max="2"/>
    <col width="22" customWidth="1" min="3" max="3"/>
    <col width="16" customWidth="1" min="4" max="4"/>
    <col width="18" customWidth="1" min="5" max="5"/>
    <col width="15" customWidth="1" min="6" max="6"/>
    <col width="24" customWidth="1" min="7" max="7"/>
    <col width="18" customWidth="1" min="8" max="8"/>
    <col width="26" customWidth="1" min="9" max="9"/>
    <col width="20" customWidth="1" min="10" max="10"/>
  </cols>
  <sheetData>
    <row r="1" ht="8" customHeight="1">
      <c r="A1" s="9" t="n"/>
      <c r="B1" s="10" t="inlineStr">
        <is>
          <t>‹ Dashboard</t>
        </is>
      </c>
      <c r="C1" s="10" t="inlineStr">
        <is>
          <t>‹ Start Here</t>
        </is>
      </c>
      <c r="D1" s="9" t="n"/>
      <c r="E1" s="9" t="n"/>
      <c r="F1" s="9" t="n"/>
      <c r="G1" s="9" t="n"/>
      <c r="H1" s="9" t="n"/>
      <c r="I1" s="9" t="n"/>
      <c r="J1" s="9" t="n"/>
    </row>
    <row r="2" ht="30" customHeight="1">
      <c r="A2" s="9" t="n"/>
      <c r="B2" s="41" t="inlineStr">
        <is>
          <t>CONTACTS</t>
        </is>
      </c>
      <c r="C2" s="9" t="n"/>
      <c r="D2" s="9" t="n"/>
      <c r="E2" s="9" t="n"/>
      <c r="F2" s="9" t="n"/>
      <c r="G2" s="9" t="n"/>
      <c r="H2" s="9" t="n"/>
      <c r="I2" s="9" t="n"/>
      <c r="J2" s="9" t="n"/>
    </row>
    <row r="3" ht="20" customHeight="1">
      <c r="A3" s="16" t="n"/>
      <c r="B3" s="42" t="inlineStr">
        <is>
          <t>Every phone number and email you need, in one place.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</row>
    <row r="5">
      <c r="B5" s="43" t="inlineStr">
        <is>
          <t>Name</t>
        </is>
      </c>
      <c r="C5" s="43" t="inlineStr">
        <is>
          <t>Company</t>
        </is>
      </c>
      <c r="D5" s="43" t="inlineStr">
        <is>
          <t>Category</t>
        </is>
      </c>
      <c r="E5" s="43" t="inlineStr">
        <is>
          <t>Role</t>
        </is>
      </c>
      <c r="F5" s="43" t="inlineStr">
        <is>
          <t>Phone</t>
        </is>
      </c>
      <c r="G5" s="43" t="inlineStr">
        <is>
          <t>Email</t>
        </is>
      </c>
      <c r="H5" s="43" t="inlineStr">
        <is>
          <t>Website</t>
        </is>
      </c>
      <c r="I5" s="43" t="inlineStr">
        <is>
          <t>Address</t>
        </is>
      </c>
      <c r="J5" s="43" t="inlineStr">
        <is>
          <t>Notes</t>
        </is>
      </c>
    </row>
    <row r="6" ht="20" customHeight="1">
      <c r="B6" s="44" t="inlineStr">
        <is>
          <t>Marisol Herrera</t>
        </is>
      </c>
      <c r="C6" s="44" t="inlineStr">
        <is>
          <t>Silver Oak Estate</t>
        </is>
      </c>
      <c r="D6" s="44" t="inlineStr">
        <is>
          <t>Venue</t>
        </is>
      </c>
      <c r="E6" s="44" t="inlineStr">
        <is>
          <t>Events Manager</t>
        </is>
      </c>
      <c r="F6" s="44" t="inlineStr">
        <is>
          <t>707-555-0142</t>
        </is>
      </c>
      <c r="G6" s="44" t="inlineStr">
        <is>
          <t>events@silveroakestate.com</t>
        </is>
      </c>
      <c r="H6" s="44" t="inlineStr">
        <is>
          <t>silveroakestate.com</t>
        </is>
      </c>
      <c r="I6" s="45" t="inlineStr">
        <is>
          <t>4200 Vineyard Rd, Napa, CA</t>
        </is>
      </c>
      <c r="J6" s="45" t="inlineStr"/>
    </row>
    <row r="7" ht="20" customHeight="1">
      <c r="B7" s="44" t="inlineStr">
        <is>
          <t>Grant Whitfield</t>
        </is>
      </c>
      <c r="C7" s="44" t="inlineStr">
        <is>
          <t>Harvest Table Catering</t>
        </is>
      </c>
      <c r="D7" s="44" t="inlineStr">
        <is>
          <t>Catering</t>
        </is>
      </c>
      <c r="E7" s="44" t="inlineStr">
        <is>
          <t>Owner</t>
        </is>
      </c>
      <c r="F7" s="44" t="inlineStr">
        <is>
          <t>707-555-0198</t>
        </is>
      </c>
      <c r="G7" s="44" t="inlineStr">
        <is>
          <t>grant@harvesttablecatering.com</t>
        </is>
      </c>
      <c r="H7" s="44" t="inlineStr">
        <is>
          <t>harvesttablecatering.com</t>
        </is>
      </c>
      <c r="I7" s="45" t="inlineStr">
        <is>
          <t>120 Main St, Napa, CA</t>
        </is>
      </c>
      <c r="J7" s="45" t="inlineStr"/>
    </row>
    <row r="8" ht="34" customHeight="1">
      <c r="B8" s="44" t="inlineStr">
        <is>
          <t>Ines Callahan</t>
        </is>
      </c>
      <c r="C8" s="44" t="inlineStr">
        <is>
          <t>Golden Hour Photo Co.</t>
        </is>
      </c>
      <c r="D8" s="44" t="inlineStr">
        <is>
          <t>Photography</t>
        </is>
      </c>
      <c r="E8" s="44" t="inlineStr">
        <is>
          <t>Lead Photographer</t>
        </is>
      </c>
      <c r="F8" s="44" t="inlineStr">
        <is>
          <t>415-555-0110</t>
        </is>
      </c>
      <c r="G8" s="44" t="inlineStr">
        <is>
          <t>ines@goldenhourphoto.co</t>
        </is>
      </c>
      <c r="H8" s="44" t="inlineStr">
        <is>
          <t>goldenhourphoto.co</t>
        </is>
      </c>
      <c r="I8" s="45" t="inlineStr">
        <is>
          <t>88 Market St, San Francisco, CA</t>
        </is>
      </c>
      <c r="J8" s="45" t="inlineStr"/>
    </row>
    <row r="9" ht="34" customHeight="1">
      <c r="B9" s="44" t="inlineStr">
        <is>
          <t>Theo Marsh</t>
        </is>
      </c>
      <c r="C9" s="44" t="inlineStr">
        <is>
          <t>Lumière Films</t>
        </is>
      </c>
      <c r="D9" s="44" t="inlineStr">
        <is>
          <t>Videography</t>
        </is>
      </c>
      <c r="E9" s="44" t="inlineStr">
        <is>
          <t>Director</t>
        </is>
      </c>
      <c r="F9" s="44" t="inlineStr">
        <is>
          <t>415-555-0177</t>
        </is>
      </c>
      <c r="G9" s="44" t="inlineStr">
        <is>
          <t>hello@lumierefilms.com</t>
        </is>
      </c>
      <c r="H9" s="44" t="inlineStr">
        <is>
          <t>lumierefilms.com</t>
        </is>
      </c>
      <c r="I9" s="45" t="inlineStr">
        <is>
          <t>220 Bay Ave, San Francisco, CA</t>
        </is>
      </c>
      <c r="J9" s="45" t="inlineStr"/>
    </row>
    <row r="10" ht="20" customHeight="1">
      <c r="B10" s="44" t="inlineStr">
        <is>
          <t>Camille Everly</t>
        </is>
      </c>
      <c r="C10" s="44" t="inlineStr">
        <is>
          <t>Maison Everly Bridal</t>
        </is>
      </c>
      <c r="D10" s="44" t="inlineStr">
        <is>
          <t>Attire</t>
        </is>
      </c>
      <c r="E10" s="44" t="inlineStr">
        <is>
          <t>Designer</t>
        </is>
      </c>
      <c r="F10" s="44" t="inlineStr">
        <is>
          <t>707-555-0133</t>
        </is>
      </c>
      <c r="G10" s="44" t="inlineStr">
        <is>
          <t>camille@maisoneverly.com</t>
        </is>
      </c>
      <c r="H10" s="44" t="inlineStr">
        <is>
          <t>maisoneverly.com</t>
        </is>
      </c>
      <c r="I10" s="45" t="inlineStr">
        <is>
          <t>15 Rose Ln, St. Helena, CA</t>
        </is>
      </c>
      <c r="J10" s="45" t="inlineStr"/>
    </row>
    <row r="11" ht="20" customHeight="1">
      <c r="B11" s="44" t="inlineStr">
        <is>
          <t>Rosalind Abernathy</t>
        </is>
      </c>
      <c r="C11" s="44" t="inlineStr">
        <is>
          <t>Wildroot Floral Design</t>
        </is>
      </c>
      <c r="D11" s="44" t="inlineStr">
        <is>
          <t>Flowers</t>
        </is>
      </c>
      <c r="E11" s="44" t="inlineStr">
        <is>
          <t>Owner</t>
        </is>
      </c>
      <c r="F11" s="44" t="inlineStr">
        <is>
          <t>707-555-0121</t>
        </is>
      </c>
      <c r="G11" s="44" t="inlineStr">
        <is>
          <t>rosalind@wildrootfloral.com</t>
        </is>
      </c>
      <c r="H11" s="44" t="inlineStr">
        <is>
          <t>wildrootfloral.com</t>
        </is>
      </c>
      <c r="I11" s="45" t="inlineStr">
        <is>
          <t>77 Garden Way, Napa, CA</t>
        </is>
      </c>
      <c r="J11" s="45" t="inlineStr"/>
    </row>
    <row r="12" ht="20" customHeight="1">
      <c r="B12" s="44" t="inlineStr">
        <is>
          <t>Devon Okafor</t>
        </is>
      </c>
      <c r="C12" s="44" t="inlineStr">
        <is>
          <t>Skyline Sound Co.</t>
        </is>
      </c>
      <c r="D12" s="44" t="inlineStr">
        <is>
          <t>Entertainment</t>
        </is>
      </c>
      <c r="E12" s="44" t="inlineStr">
        <is>
          <t>DJ / MC</t>
        </is>
      </c>
      <c r="F12" s="44" t="inlineStr">
        <is>
          <t>415-555-0155</t>
        </is>
      </c>
      <c r="G12" s="44" t="inlineStr">
        <is>
          <t>devon@skylinesound.com</t>
        </is>
      </c>
      <c r="H12" s="44" t="inlineStr">
        <is>
          <t>skylinesound.com</t>
        </is>
      </c>
      <c r="I12" s="45" t="inlineStr">
        <is>
          <t>310 Sound Dr, Oakland, CA</t>
        </is>
      </c>
      <c r="J12" s="45" t="inlineStr"/>
    </row>
    <row r="13" ht="34" customHeight="1">
      <c r="B13" s="44" t="inlineStr">
        <is>
          <t>Nora Fitzgerald (Officiant)</t>
        </is>
      </c>
      <c r="C13" s="44" t="inlineStr">
        <is>
          <t>N/A</t>
        </is>
      </c>
      <c r="D13" s="44" t="inlineStr">
        <is>
          <t>Officiant</t>
        </is>
      </c>
      <c r="E13" s="44" t="inlineStr">
        <is>
          <t>Celebrant</t>
        </is>
      </c>
      <c r="F13" s="44" t="inlineStr">
        <is>
          <t>707-555-0128</t>
        </is>
      </c>
      <c r="G13" s="44" t="inlineStr">
        <is>
          <t>nora.officiant@example.com</t>
        </is>
      </c>
      <c r="H13" s="44" t="inlineStr"/>
      <c r="I13" s="45" t="inlineStr">
        <is>
          <t>Napa, CA</t>
        </is>
      </c>
      <c r="J13" s="45" t="inlineStr">
        <is>
          <t>Family friend, ordained online</t>
        </is>
      </c>
    </row>
    <row r="14" ht="20" customHeight="1">
      <c r="B14" s="44" t="inlineStr">
        <is>
          <t>Willa Chambers</t>
        </is>
      </c>
      <c r="C14" s="44" t="inlineStr">
        <is>
          <t>Sugar &amp; Sage Bakery</t>
        </is>
      </c>
      <c r="D14" s="44" t="inlineStr">
        <is>
          <t>Cake</t>
        </is>
      </c>
      <c r="E14" s="44" t="inlineStr">
        <is>
          <t>Head Baker</t>
        </is>
      </c>
      <c r="F14" s="44" t="inlineStr">
        <is>
          <t>707-555-0119</t>
        </is>
      </c>
      <c r="G14" s="44" t="inlineStr">
        <is>
          <t>willa@sugarandsage.com</t>
        </is>
      </c>
      <c r="H14" s="44" t="inlineStr">
        <is>
          <t>sugarandsage.com</t>
        </is>
      </c>
      <c r="I14" s="45" t="inlineStr">
        <is>
          <t>45 Baker St, Napa, CA</t>
        </is>
      </c>
      <c r="J14" s="45" t="inlineStr"/>
    </row>
    <row r="15" ht="20" customHeight="1">
      <c r="B15" s="44" t="inlineStr">
        <is>
          <t>Colin Sinclair</t>
        </is>
      </c>
      <c r="C15" s="44" t="inlineStr">
        <is>
          <t>Napa Ridge Inn</t>
        </is>
      </c>
      <c r="D15" s="44" t="inlineStr">
        <is>
          <t>Accommodation</t>
        </is>
      </c>
      <c r="E15" s="44" t="inlineStr">
        <is>
          <t>Reservations Manager</t>
        </is>
      </c>
      <c r="F15" s="44" t="inlineStr">
        <is>
          <t>707-555-0192</t>
        </is>
      </c>
      <c r="G15" s="44" t="inlineStr">
        <is>
          <t>colin@naparidgeinn.com</t>
        </is>
      </c>
      <c r="H15" s="44" t="inlineStr">
        <is>
          <t>naparidgeinn.com</t>
        </is>
      </c>
      <c r="I15" s="45" t="inlineStr">
        <is>
          <t>900 Ridge Rd, Napa, CA</t>
        </is>
      </c>
      <c r="J15" s="45" t="inlineStr"/>
    </row>
    <row r="16" ht="20" customHeight="1">
      <c r="B16" s="44" t="n"/>
      <c r="C16" s="44" t="n"/>
      <c r="D16" s="44" t="n"/>
      <c r="E16" s="44" t="n"/>
      <c r="F16" s="44" t="n"/>
      <c r="G16" s="44" t="n"/>
      <c r="H16" s="44" t="n"/>
      <c r="I16" s="45" t="n"/>
      <c r="J16" s="45" t="n"/>
    </row>
    <row r="17" ht="20" customHeight="1">
      <c r="B17" s="44" t="n"/>
      <c r="C17" s="44" t="n"/>
      <c r="D17" s="44" t="n"/>
      <c r="E17" s="44" t="n"/>
      <c r="F17" s="44" t="n"/>
      <c r="G17" s="44" t="n"/>
      <c r="H17" s="44" t="n"/>
      <c r="I17" s="45" t="n"/>
      <c r="J17" s="45" t="n"/>
    </row>
    <row r="18" ht="20" customHeight="1">
      <c r="B18" s="44" t="n"/>
      <c r="C18" s="44" t="n"/>
      <c r="D18" s="44" t="n"/>
      <c r="E18" s="44" t="n"/>
      <c r="F18" s="44" t="n"/>
      <c r="G18" s="44" t="n"/>
      <c r="H18" s="44" t="n"/>
      <c r="I18" s="45" t="n"/>
      <c r="J18" s="45" t="n"/>
    </row>
    <row r="19" ht="20" customHeight="1">
      <c r="B19" s="44" t="n"/>
      <c r="C19" s="44" t="n"/>
      <c r="D19" s="44" t="n"/>
      <c r="E19" s="44" t="n"/>
      <c r="F19" s="44" t="n"/>
      <c r="G19" s="44" t="n"/>
      <c r="H19" s="44" t="n"/>
      <c r="I19" s="45" t="n"/>
      <c r="J19" s="45" t="n"/>
    </row>
    <row r="20" ht="20" customHeight="1">
      <c r="B20" s="44" t="n"/>
      <c r="C20" s="44" t="n"/>
      <c r="D20" s="44" t="n"/>
      <c r="E20" s="44" t="n"/>
      <c r="F20" s="44" t="n"/>
      <c r="G20" s="44" t="n"/>
      <c r="H20" s="44" t="n"/>
      <c r="I20" s="45" t="n"/>
      <c r="J20" s="45" t="n"/>
    </row>
    <row r="21" ht="20" customHeight="1">
      <c r="B21" s="44" t="n"/>
      <c r="C21" s="44" t="n"/>
      <c r="D21" s="44" t="n"/>
      <c r="E21" s="44" t="n"/>
      <c r="F21" s="44" t="n"/>
      <c r="G21" s="44" t="n"/>
      <c r="H21" s="44" t="n"/>
      <c r="I21" s="45" t="n"/>
      <c r="J21" s="45" t="n"/>
    </row>
    <row r="22" ht="20" customHeight="1">
      <c r="B22" s="44" t="n"/>
      <c r="C22" s="44" t="n"/>
      <c r="D22" s="44" t="n"/>
      <c r="E22" s="44" t="n"/>
      <c r="F22" s="44" t="n"/>
      <c r="G22" s="44" t="n"/>
      <c r="H22" s="44" t="n"/>
      <c r="I22" s="45" t="n"/>
      <c r="J22" s="45" t="n"/>
    </row>
    <row r="23" ht="20" customHeight="1">
      <c r="B23" s="44" t="n"/>
      <c r="C23" s="44" t="n"/>
      <c r="D23" s="44" t="n"/>
      <c r="E23" s="44" t="n"/>
      <c r="F23" s="44" t="n"/>
      <c r="G23" s="44" t="n"/>
      <c r="H23" s="44" t="n"/>
      <c r="I23" s="45" t="n"/>
      <c r="J23" s="45" t="n"/>
    </row>
    <row r="24" ht="20" customHeight="1">
      <c r="B24" s="44" t="n"/>
      <c r="C24" s="44" t="n"/>
      <c r="D24" s="44" t="n"/>
      <c r="E24" s="44" t="n"/>
      <c r="F24" s="44" t="n"/>
      <c r="G24" s="44" t="n"/>
      <c r="H24" s="44" t="n"/>
      <c r="I24" s="45" t="n"/>
      <c r="J24" s="45" t="n"/>
    </row>
    <row r="25" ht="20" customHeight="1">
      <c r="B25" s="44" t="n"/>
      <c r="C25" s="44" t="n"/>
      <c r="D25" s="44" t="n"/>
      <c r="E25" s="44" t="n"/>
      <c r="F25" s="44" t="n"/>
      <c r="G25" s="44" t="n"/>
      <c r="H25" s="44" t="n"/>
      <c r="I25" s="45" t="n"/>
      <c r="J25" s="45" t="n"/>
    </row>
  </sheetData>
  <dataValidations count="1">
    <dataValidation sqref="D6:D25" showDropDown="0" showInputMessage="0" showErrorMessage="0" allowBlank="1" errorTitle="Invalid entry" error="Please choose a value from the list." type="list">
      <formula1>Lists!$F$2:$F$21</formula1>
    </dataValidation>
  </dataValidations>
  <hyperlinks>
    <hyperlink ref="B1" location="'Dashboard'!A1"/>
    <hyperlink ref="C1" location="'START HERE'!A1"/>
  </hyperlinks>
  <pageMargins left="0.4" right="0.4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C98F91"/>
    <outlinePr summaryBelow="1" summaryRight="1"/>
    <pageSetUpPr fitToPage="1"/>
  </sheetPr>
  <dimension ref="A1:M38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2" max="2"/>
    <col width="26" customWidth="1" min="3" max="3"/>
    <col width="15" customWidth="1" min="4" max="4"/>
    <col width="11" customWidth="1" min="5" max="5"/>
    <col width="16" customWidth="1" min="6" max="6"/>
    <col width="15" customWidth="1" min="7" max="7"/>
    <col width="20" customWidth="1" min="8" max="8"/>
  </cols>
  <sheetData>
    <row r="1" ht="8" customHeight="1">
      <c r="A1" s="9" t="n"/>
      <c r="B1" s="10" t="inlineStr">
        <is>
          <t>‹ Dashboard</t>
        </is>
      </c>
      <c r="C1" s="10" t="inlineStr">
        <is>
          <t>‹ Start Here</t>
        </is>
      </c>
      <c r="D1" s="9" t="n"/>
      <c r="E1" s="9" t="n"/>
      <c r="F1" s="9" t="n"/>
      <c r="G1" s="9" t="n"/>
      <c r="H1" s="9" t="n"/>
    </row>
    <row r="2" ht="30" customHeight="1">
      <c r="A2" s="9" t="n"/>
      <c r="B2" s="41" t="inlineStr">
        <is>
          <t>GIFT TRACKER</t>
        </is>
      </c>
      <c r="C2" s="9" t="n"/>
      <c r="D2" s="9" t="n"/>
      <c r="E2" s="9" t="n"/>
      <c r="F2" s="9" t="n"/>
      <c r="G2" s="9" t="n"/>
      <c r="H2" s="9" t="n"/>
    </row>
    <row r="3" ht="20" customHeight="1">
      <c r="A3" s="16" t="n"/>
      <c r="B3" s="42" t="inlineStr">
        <is>
          <t>Track gifts received and thank-you notes sent.</t>
        </is>
      </c>
      <c r="C3" s="16" t="n"/>
      <c r="D3" s="16" t="n"/>
      <c r="E3" s="16" t="n"/>
      <c r="F3" s="16" t="n"/>
      <c r="G3" s="16" t="n"/>
      <c r="H3" s="16" t="n"/>
    </row>
    <row r="5">
      <c r="B5" s="43" t="inlineStr">
        <is>
          <t>Guest Name</t>
        </is>
      </c>
      <c r="C5" s="43" t="inlineStr">
        <is>
          <t>Gift</t>
        </is>
      </c>
      <c r="D5" s="43" t="inlineStr">
        <is>
          <t>Gift Type</t>
        </is>
      </c>
      <c r="E5" s="43" t="inlineStr">
        <is>
          <t>Value</t>
        </is>
      </c>
      <c r="F5" s="43" t="inlineStr">
        <is>
          <t>Thank You Sent</t>
        </is>
      </c>
      <c r="G5" s="43" t="inlineStr">
        <is>
          <t>Date Received</t>
        </is>
      </c>
      <c r="H5" s="43" t="inlineStr">
        <is>
          <t>Notes</t>
        </is>
      </c>
    </row>
    <row r="6" ht="20" customHeight="1">
      <c r="B6" s="44" t="inlineStr">
        <is>
          <t>Alexander Nakamura</t>
        </is>
      </c>
      <c r="C6" s="45" t="inlineStr">
        <is>
          <t>Set of Le Creuset Cookware</t>
        </is>
      </c>
      <c r="D6" s="48" t="inlineStr">
        <is>
          <t>Physical Gift</t>
        </is>
      </c>
      <c r="E6" s="46" t="n">
        <v>150</v>
      </c>
      <c r="F6" s="48" t="inlineStr">
        <is>
          <t>No</t>
        </is>
      </c>
      <c r="G6" s="47" t="inlineStr">
        <is>
          <t>2027-01-01</t>
        </is>
      </c>
      <c r="H6" s="45" t="inlineStr"/>
    </row>
    <row r="7" ht="20" customHeight="1">
      <c r="B7" s="44" t="inlineStr">
        <is>
          <t>Lucas Hartley</t>
        </is>
      </c>
      <c r="C7" s="45" t="inlineStr">
        <is>
          <t>Cash Gift</t>
        </is>
      </c>
      <c r="D7" s="48" t="inlineStr">
        <is>
          <t>Cash Gift</t>
        </is>
      </c>
      <c r="E7" s="46" t="n">
        <v>150</v>
      </c>
      <c r="F7" s="48" t="inlineStr">
        <is>
          <t>Yes</t>
        </is>
      </c>
      <c r="G7" s="47" t="inlineStr">
        <is>
          <t>2027-02-02</t>
        </is>
      </c>
      <c r="H7" s="45" t="inlineStr"/>
    </row>
    <row r="8" ht="20" customHeight="1">
      <c r="B8" s="44" t="inlineStr">
        <is>
          <t>Riley Osei</t>
        </is>
      </c>
      <c r="C8" s="45" t="inlineStr">
        <is>
          <t>$150 Amazon Gift Card</t>
        </is>
      </c>
      <c r="D8" s="48" t="inlineStr">
        <is>
          <t>Gift Card</t>
        </is>
      </c>
      <c r="E8" s="46" t="n">
        <v>100</v>
      </c>
      <c r="F8" s="48" t="inlineStr">
        <is>
          <t>Yes</t>
        </is>
      </c>
      <c r="G8" s="47" t="inlineStr">
        <is>
          <t>2027-03-03</t>
        </is>
      </c>
      <c r="H8" s="45" t="inlineStr"/>
    </row>
    <row r="9" ht="20" customHeight="1">
      <c r="B9" s="44" t="inlineStr">
        <is>
          <t>Elizabeth Mitchell</t>
        </is>
      </c>
      <c r="C9" s="45" t="inlineStr">
        <is>
          <t>Wine Country Tour Voucher</t>
        </is>
      </c>
      <c r="D9" s="48" t="inlineStr">
        <is>
          <t>Experience</t>
        </is>
      </c>
      <c r="E9" s="46" t="n">
        <v>250</v>
      </c>
      <c r="F9" s="48" t="inlineStr">
        <is>
          <t>No</t>
        </is>
      </c>
      <c r="G9" s="47" t="inlineStr">
        <is>
          <t>2027-04-04</t>
        </is>
      </c>
      <c r="H9" s="45" t="inlineStr"/>
    </row>
    <row r="10" ht="34" customHeight="1">
      <c r="B10" s="44" t="inlineStr">
        <is>
          <t>Mia Barrett</t>
        </is>
      </c>
      <c r="C10" s="45" t="inlineStr">
        <is>
          <t>Crystal Serving Bowl (Registry)</t>
        </is>
      </c>
      <c r="D10" s="48" t="inlineStr">
        <is>
          <t>Registry Item</t>
        </is>
      </c>
      <c r="E10" s="46" t="n">
        <v>300</v>
      </c>
      <c r="F10" s="48" t="inlineStr">
        <is>
          <t>Yes</t>
        </is>
      </c>
      <c r="G10" s="47" t="inlineStr">
        <is>
          <t>2027-05-05</t>
        </is>
      </c>
      <c r="H10" s="45" t="inlineStr"/>
    </row>
    <row r="11" ht="20" customHeight="1">
      <c r="B11" s="44" t="inlineStr">
        <is>
          <t>Brooklyn Carter</t>
        </is>
      </c>
      <c r="C11" s="45" t="inlineStr">
        <is>
          <t>Linen Bedding Set (Registry)</t>
        </is>
      </c>
      <c r="D11" s="48" t="inlineStr">
        <is>
          <t>Physical Gift</t>
        </is>
      </c>
      <c r="E11" s="46" t="n">
        <v>150</v>
      </c>
      <c r="F11" s="48" t="inlineStr">
        <is>
          <t>Yes</t>
        </is>
      </c>
      <c r="G11" s="47" t="inlineStr">
        <is>
          <t>2027-06-06</t>
        </is>
      </c>
      <c r="H11" s="45" t="inlineStr"/>
    </row>
    <row r="12" ht="20" customHeight="1">
      <c r="B12" s="44" t="inlineStr">
        <is>
          <t>Michael Whitaker</t>
        </is>
      </c>
      <c r="C12" s="45" t="inlineStr">
        <is>
          <t>Cash Gift</t>
        </is>
      </c>
      <c r="D12" s="48" t="inlineStr">
        <is>
          <t>Cash Gift</t>
        </is>
      </c>
      <c r="E12" s="46" t="n">
        <v>150</v>
      </c>
      <c r="F12" s="48" t="inlineStr">
        <is>
          <t>No</t>
        </is>
      </c>
      <c r="G12" s="47" t="inlineStr">
        <is>
          <t>2027-01-07</t>
        </is>
      </c>
      <c r="H12" s="45" t="inlineStr"/>
    </row>
    <row r="13" ht="20" customHeight="1">
      <c r="B13" s="44" t="inlineStr">
        <is>
          <t>Abigail Kowalski</t>
        </is>
      </c>
      <c r="C13" s="45" t="inlineStr">
        <is>
          <t>KitchenAid Mixer (Registry)</t>
        </is>
      </c>
      <c r="D13" s="48" t="inlineStr">
        <is>
          <t>Gift Card</t>
        </is>
      </c>
      <c r="E13" s="46" t="n">
        <v>100</v>
      </c>
      <c r="F13" s="48" t="inlineStr">
        <is>
          <t>Yes</t>
        </is>
      </c>
      <c r="G13" s="47" t="inlineStr">
        <is>
          <t>2027-02-08</t>
        </is>
      </c>
      <c r="H13" s="45" t="inlineStr"/>
    </row>
    <row r="14" ht="34" customHeight="1">
      <c r="B14" s="44" t="inlineStr">
        <is>
          <t>Logan Patel</t>
        </is>
      </c>
      <c r="C14" s="45" t="inlineStr">
        <is>
          <t>$100 Williams Sonoma Gift Card</t>
        </is>
      </c>
      <c r="D14" s="48" t="inlineStr">
        <is>
          <t>Experience</t>
        </is>
      </c>
      <c r="E14" s="46" t="n">
        <v>250</v>
      </c>
      <c r="F14" s="48" t="inlineStr">
        <is>
          <t>Yes</t>
        </is>
      </c>
      <c r="G14" s="47" t="inlineStr">
        <is>
          <t>2027-03-09</t>
        </is>
      </c>
      <c r="H14" s="45" t="inlineStr"/>
    </row>
    <row r="15" ht="20" customHeight="1">
      <c r="B15" s="44" t="inlineStr">
        <is>
          <t>Grace Foster</t>
        </is>
      </c>
      <c r="C15" s="45" t="inlineStr">
        <is>
          <t>Hand-painted Ceramic Vase</t>
        </is>
      </c>
      <c r="D15" s="48" t="inlineStr">
        <is>
          <t>Registry Item</t>
        </is>
      </c>
      <c r="E15" s="46" t="n">
        <v>300</v>
      </c>
      <c r="F15" s="48" t="inlineStr">
        <is>
          <t>No</t>
        </is>
      </c>
      <c r="G15" s="47" t="inlineStr">
        <is>
          <t>2027-04-10</t>
        </is>
      </c>
      <c r="H15" s="45" t="inlineStr"/>
    </row>
    <row r="16" ht="20" customHeight="1">
      <c r="B16" s="44" t="inlineStr">
        <is>
          <t>Sebastian Wallace</t>
        </is>
      </c>
      <c r="C16" s="45" t="inlineStr">
        <is>
          <t>Cash Gift</t>
        </is>
      </c>
      <c r="D16" s="48" t="inlineStr">
        <is>
          <t>Physical Gift</t>
        </is>
      </c>
      <c r="E16" s="46" t="n">
        <v>150</v>
      </c>
      <c r="F16" s="48" t="inlineStr">
        <is>
          <t>Yes</t>
        </is>
      </c>
      <c r="G16" s="47" t="inlineStr">
        <is>
          <t>2027-05-11</t>
        </is>
      </c>
      <c r="H16" s="45" t="inlineStr"/>
    </row>
    <row r="17" ht="20" customHeight="1">
      <c r="B17" s="44" t="inlineStr">
        <is>
          <t>William Bennett</t>
        </is>
      </c>
      <c r="C17" s="45" t="inlineStr">
        <is>
          <t>Weekend Spa Package</t>
        </is>
      </c>
      <c r="D17" s="48" t="inlineStr">
        <is>
          <t>Cash Gift</t>
        </is>
      </c>
      <c r="E17" s="46" t="n">
        <v>150</v>
      </c>
      <c r="F17" s="48" t="inlineStr">
        <is>
          <t>Yes</t>
        </is>
      </c>
      <c r="G17" s="47" t="inlineStr">
        <is>
          <t>2027-06-12</t>
        </is>
      </c>
      <c r="H17" s="45" t="inlineStr"/>
    </row>
    <row r="18" ht="20" customHeight="1">
      <c r="B18" s="44" t="inlineStr">
        <is>
          <t>Sofia Nakamura</t>
        </is>
      </c>
      <c r="C18" s="45" t="inlineStr">
        <is>
          <t>Set of Le Creuset Cookware</t>
        </is>
      </c>
      <c r="D18" s="48" t="inlineStr">
        <is>
          <t>Gift Card</t>
        </is>
      </c>
      <c r="E18" s="46" t="n">
        <v>100</v>
      </c>
      <c r="F18" s="48" t="inlineStr">
        <is>
          <t>No</t>
        </is>
      </c>
      <c r="G18" s="47" t="inlineStr">
        <is>
          <t>2027-01-13</t>
        </is>
      </c>
      <c r="H18" s="45" t="inlineStr"/>
    </row>
    <row r="19" ht="20" customHeight="1">
      <c r="B19" s="44" t="inlineStr">
        <is>
          <t>Isabella Hartley</t>
        </is>
      </c>
      <c r="C19" s="45" t="inlineStr">
        <is>
          <t>Cash Gift</t>
        </is>
      </c>
      <c r="D19" s="48" t="inlineStr">
        <is>
          <t>Experience</t>
        </is>
      </c>
      <c r="E19" s="46" t="n">
        <v>250</v>
      </c>
      <c r="F19" s="48" t="inlineStr">
        <is>
          <t>Yes</t>
        </is>
      </c>
      <c r="G19" s="47" t="inlineStr">
        <is>
          <t>2027-02-14</t>
        </is>
      </c>
      <c r="H19" s="45" t="inlineStr"/>
    </row>
    <row r="20" ht="20" customHeight="1">
      <c r="B20" s="44" t="inlineStr">
        <is>
          <t>Carter Osei</t>
        </is>
      </c>
      <c r="C20" s="45" t="inlineStr">
        <is>
          <t>$150 Amazon Gift Card</t>
        </is>
      </c>
      <c r="D20" s="48" t="inlineStr">
        <is>
          <t>Registry Item</t>
        </is>
      </c>
      <c r="E20" s="46" t="n">
        <v>300</v>
      </c>
      <c r="F20" s="48" t="inlineStr">
        <is>
          <t>Yes</t>
        </is>
      </c>
      <c r="G20" s="47" t="inlineStr">
        <is>
          <t>2027-03-15</t>
        </is>
      </c>
      <c r="H20" s="45" t="inlineStr"/>
    </row>
    <row r="21" ht="20" customHeight="1">
      <c r="B21" s="44" t="inlineStr">
        <is>
          <t>John Mitchell</t>
        </is>
      </c>
      <c r="C21" s="45" t="inlineStr">
        <is>
          <t>Wine Country Tour Voucher</t>
        </is>
      </c>
      <c r="D21" s="48" t="inlineStr">
        <is>
          <t>Physical Gift</t>
        </is>
      </c>
      <c r="E21" s="46" t="n">
        <v>150</v>
      </c>
      <c r="F21" s="48" t="inlineStr">
        <is>
          <t>No</t>
        </is>
      </c>
      <c r="G21" s="47" t="inlineStr">
        <is>
          <t>2027-04-16</t>
        </is>
      </c>
      <c r="H21" s="45" t="inlineStr"/>
    </row>
    <row r="22" ht="34" customHeight="1">
      <c r="B22" s="44" t="inlineStr">
        <is>
          <t>Emily Barrett</t>
        </is>
      </c>
      <c r="C22" s="45" t="inlineStr">
        <is>
          <t>Crystal Serving Bowl (Registry)</t>
        </is>
      </c>
      <c r="D22" s="48" t="inlineStr">
        <is>
          <t>Cash Gift</t>
        </is>
      </c>
      <c r="E22" s="46" t="n">
        <v>150</v>
      </c>
      <c r="F22" s="48" t="inlineStr">
        <is>
          <t>Yes</t>
        </is>
      </c>
      <c r="G22" s="47" t="inlineStr">
        <is>
          <t>2027-05-17</t>
        </is>
      </c>
      <c r="H22" s="45" t="inlineStr"/>
    </row>
    <row r="23" ht="20" customHeight="1">
      <c r="B23" s="44" t="inlineStr">
        <is>
          <t>Henry Carter</t>
        </is>
      </c>
      <c r="C23" s="45" t="inlineStr">
        <is>
          <t>Linen Bedding Set (Registry)</t>
        </is>
      </c>
      <c r="D23" s="48" t="inlineStr">
        <is>
          <t>Gift Card</t>
        </is>
      </c>
      <c r="E23" s="46" t="n">
        <v>100</v>
      </c>
      <c r="F23" s="48" t="inlineStr">
        <is>
          <t>Yes</t>
        </is>
      </c>
      <c r="G23" s="47" t="inlineStr">
        <is>
          <t>2027-06-18</t>
        </is>
      </c>
      <c r="H23" s="45" t="inlineStr"/>
    </row>
    <row r="24" ht="20" customHeight="1">
      <c r="B24" s="44" t="inlineStr">
        <is>
          <t>Joseph Whitaker</t>
        </is>
      </c>
      <c r="C24" s="45" t="inlineStr">
        <is>
          <t>Cash Gift</t>
        </is>
      </c>
      <c r="D24" s="48" t="inlineStr">
        <is>
          <t>Experience</t>
        </is>
      </c>
      <c r="E24" s="46" t="n">
        <v>250</v>
      </c>
      <c r="F24" s="48" t="inlineStr">
        <is>
          <t>No</t>
        </is>
      </c>
      <c r="G24" s="47" t="inlineStr">
        <is>
          <t>2027-01-19</t>
        </is>
      </c>
      <c r="H24" s="45" t="inlineStr"/>
    </row>
    <row r="25" ht="20" customHeight="1">
      <c r="B25" s="44" t="inlineStr">
        <is>
          <t>Olivia Kowalski</t>
        </is>
      </c>
      <c r="C25" s="45" t="inlineStr">
        <is>
          <t>KitchenAid Mixer (Registry)</t>
        </is>
      </c>
      <c r="D25" s="48" t="inlineStr">
        <is>
          <t>Registry Item</t>
        </is>
      </c>
      <c r="E25" s="46" t="n">
        <v>300</v>
      </c>
      <c r="F25" s="48" t="inlineStr">
        <is>
          <t>Yes</t>
        </is>
      </c>
      <c r="G25" s="47" t="inlineStr">
        <is>
          <t>2027-02-20</t>
        </is>
      </c>
      <c r="H25" s="45" t="inlineStr"/>
    </row>
    <row r="26" ht="34" customHeight="1">
      <c r="B26" s="44" t="inlineStr">
        <is>
          <t>Savannah Patel</t>
        </is>
      </c>
      <c r="C26" s="45" t="inlineStr">
        <is>
          <t>$100 Williams Sonoma Gift Card</t>
        </is>
      </c>
      <c r="D26" s="48" t="inlineStr">
        <is>
          <t>Physical Gift</t>
        </is>
      </c>
      <c r="E26" s="46" t="n">
        <v>150</v>
      </c>
      <c r="F26" s="48" t="inlineStr">
        <is>
          <t>Yes</t>
        </is>
      </c>
      <c r="G26" s="47" t="inlineStr">
        <is>
          <t>2027-03-21</t>
        </is>
      </c>
      <c r="H26" s="45" t="inlineStr"/>
    </row>
    <row r="27" ht="20" customHeight="1">
      <c r="B27" s="44" t="inlineStr">
        <is>
          <t>Victoria Foster</t>
        </is>
      </c>
      <c r="C27" s="45" t="inlineStr">
        <is>
          <t>Hand-painted Ceramic Vase</t>
        </is>
      </c>
      <c r="D27" s="48" t="inlineStr">
        <is>
          <t>Cash Gift</t>
        </is>
      </c>
      <c r="E27" s="46" t="n">
        <v>150</v>
      </c>
      <c r="F27" s="48" t="inlineStr">
        <is>
          <t>No</t>
        </is>
      </c>
      <c r="G27" s="47" t="inlineStr">
        <is>
          <t>2027-04-22</t>
        </is>
      </c>
      <c r="H27" s="45" t="inlineStr"/>
    </row>
    <row r="28" ht="20" customHeight="1">
      <c r="B28" s="44" t="inlineStr">
        <is>
          <t>Samuel Wallace</t>
        </is>
      </c>
      <c r="C28" s="45" t="inlineStr">
        <is>
          <t>Cash Gift</t>
        </is>
      </c>
      <c r="D28" s="48" t="inlineStr">
        <is>
          <t>Gift Card</t>
        </is>
      </c>
      <c r="E28" s="46" t="n">
        <v>100</v>
      </c>
      <c r="F28" s="48" t="inlineStr">
        <is>
          <t>Yes</t>
        </is>
      </c>
      <c r="G28" s="47" t="inlineStr">
        <is>
          <t>2027-05-23</t>
        </is>
      </c>
      <c r="H28" s="45" t="inlineStr"/>
    </row>
    <row r="29" ht="20" customHeight="1">
      <c r="B29" s="44" t="inlineStr">
        <is>
          <t>Skylar Bennett</t>
        </is>
      </c>
      <c r="C29" s="45" t="inlineStr">
        <is>
          <t>Weekend Spa Package</t>
        </is>
      </c>
      <c r="D29" s="48" t="inlineStr">
        <is>
          <t>Experience</t>
        </is>
      </c>
      <c r="E29" s="46" t="n">
        <v>250</v>
      </c>
      <c r="F29" s="48" t="inlineStr">
        <is>
          <t>Yes</t>
        </is>
      </c>
      <c r="G29" s="47" t="inlineStr">
        <is>
          <t>2027-06-24</t>
        </is>
      </c>
      <c r="H29" s="45" t="inlineStr"/>
    </row>
    <row r="30" ht="20" customHeight="1">
      <c r="B30" s="44" t="inlineStr">
        <is>
          <t>Hazel Nakamura</t>
        </is>
      </c>
      <c r="C30" s="45" t="inlineStr">
        <is>
          <t>Set of Le Creuset Cookware</t>
        </is>
      </c>
      <c r="D30" s="48" t="inlineStr">
        <is>
          <t>Registry Item</t>
        </is>
      </c>
      <c r="E30" s="46" t="n">
        <v>300</v>
      </c>
      <c r="F30" s="48" t="inlineStr">
        <is>
          <t>No</t>
        </is>
      </c>
      <c r="G30" s="47" t="inlineStr">
        <is>
          <t>2027-01-25</t>
        </is>
      </c>
      <c r="H30" s="45" t="inlineStr"/>
    </row>
    <row r="31" ht="20" customHeight="1">
      <c r="B31" s="44" t="inlineStr">
        <is>
          <t>Jackson Hartley</t>
        </is>
      </c>
      <c r="C31" s="45" t="inlineStr">
        <is>
          <t>Cash Gift</t>
        </is>
      </c>
      <c r="D31" s="48" t="inlineStr">
        <is>
          <t>Physical Gift</t>
        </is>
      </c>
      <c r="E31" s="46" t="n">
        <v>150</v>
      </c>
      <c r="F31" s="48" t="inlineStr">
        <is>
          <t>Yes</t>
        </is>
      </c>
      <c r="G31" s="47" t="inlineStr">
        <is>
          <t>2027-02-26</t>
        </is>
      </c>
      <c r="H31" s="45" t="inlineStr"/>
    </row>
    <row r="32" ht="20" customHeight="1">
      <c r="B32" s="44" t="n"/>
      <c r="C32" s="45" t="n"/>
      <c r="D32" s="48" t="n"/>
      <c r="E32" s="46" t="n"/>
      <c r="F32" s="48" t="n"/>
      <c r="G32" s="47" t="n"/>
      <c r="H32" s="45" t="n"/>
    </row>
    <row r="33" ht="20" customHeight="1">
      <c r="B33" s="44" t="n"/>
      <c r="C33" s="45" t="n"/>
      <c r="D33" s="48" t="n"/>
      <c r="E33" s="46" t="n"/>
      <c r="F33" s="48" t="n"/>
      <c r="G33" s="47" t="n"/>
      <c r="H33" s="45" t="n"/>
    </row>
    <row r="35">
      <c r="B35" s="5" t="inlineStr">
        <is>
          <t>GIFT SUMMARY</t>
        </is>
      </c>
    </row>
    <row r="36">
      <c r="B36" s="36">
        <f>COUNTA(B6:B33)</f>
        <v/>
      </c>
      <c r="C36" s="19" t="n"/>
      <c r="D36" s="20" t="n"/>
      <c r="E36" s="18">
        <f>SUM(E6:E33)</f>
        <v/>
      </c>
      <c r="F36" s="19" t="n"/>
      <c r="G36" s="20" t="n"/>
      <c r="H36" s="36">
        <f>COUNTIF(F6:F33,"Yes")</f>
        <v/>
      </c>
      <c r="I36" s="19" t="n"/>
      <c r="J36" s="20" t="n"/>
      <c r="K36" s="36">
        <f>COUNTIFS(B6:B33,"&lt;&gt;",F6:F33,"&lt;&gt;Yes")</f>
        <v/>
      </c>
      <c r="L36" s="19" t="n"/>
      <c r="M36" s="20" t="n"/>
    </row>
    <row r="37">
      <c r="B37" s="30" t="n"/>
      <c r="C37" s="31" t="n"/>
      <c r="D37" s="32" t="n"/>
      <c r="E37" s="30" t="n"/>
      <c r="F37" s="31" t="n"/>
      <c r="G37" s="32" t="n"/>
      <c r="H37" s="30" t="n"/>
      <c r="I37" s="31" t="n"/>
      <c r="J37" s="32" t="n"/>
      <c r="K37" s="30" t="n"/>
      <c r="L37" s="31" t="n"/>
      <c r="M37" s="32" t="n"/>
    </row>
    <row r="38">
      <c r="B38" s="33" t="inlineStr">
        <is>
          <t>GIFTS RECEIVED</t>
        </is>
      </c>
      <c r="C38" s="34" t="n"/>
      <c r="D38" s="35" t="n"/>
      <c r="E38" s="33" t="inlineStr">
        <is>
          <t>TOTAL VALUE</t>
        </is>
      </c>
      <c r="F38" s="34" t="n"/>
      <c r="G38" s="35" t="n"/>
      <c r="H38" s="33" t="inlineStr">
        <is>
          <t>THANK-YOUS SENT</t>
        </is>
      </c>
      <c r="I38" s="34" t="n"/>
      <c r="J38" s="35" t="n"/>
      <c r="K38" s="33" t="inlineStr">
        <is>
          <t>THANK-YOUS PENDING</t>
        </is>
      </c>
      <c r="L38" s="34" t="n"/>
      <c r="M38" s="35" t="n"/>
    </row>
  </sheetData>
  <mergeCells count="8">
    <mergeCell ref="H38:J38"/>
    <mergeCell ref="E36:G37"/>
    <mergeCell ref="K38:M38"/>
    <mergeCell ref="K36:M37"/>
    <mergeCell ref="B36:D37"/>
    <mergeCell ref="B38:D38"/>
    <mergeCell ref="E38:G38"/>
    <mergeCell ref="H36:J37"/>
  </mergeCells>
  <conditionalFormatting sqref="F6:F33">
    <cfRule type="expression" priority="1" dxfId="0">
      <formula>EXACT(TRIM(F6),"Yes")</formula>
    </cfRule>
    <cfRule type="expression" priority="2" dxfId="3">
      <formula>EXACT(TRIM(F6),"No")</formula>
    </cfRule>
  </conditionalFormatting>
  <dataValidations count="2">
    <dataValidation sqref="D6:D33" showDropDown="0" showInputMessage="0" showErrorMessage="0" allowBlank="1" errorTitle="Invalid entry" error="Please choose a value from the list." type="list">
      <formula1>Lists!$M$2:$M$6</formula1>
    </dataValidation>
    <dataValidation sqref="F6:F33" showDropDown="0" showInputMessage="0" showErrorMessage="0" allowBlank="1" errorTitle="Invalid entry" error="Please choose a value from the list." type="list">
      <formula1>Lists!$L$2:$L$3</formula1>
    </dataValidation>
  </dataValidations>
  <hyperlinks>
    <hyperlink ref="B1" location="'Dashboard'!A1"/>
    <hyperlink ref="C1" location="'START HERE'!A1"/>
  </hyperlinks>
  <pageMargins left="0.4" right="0.4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C98F91"/>
    <outlinePr summaryBelow="1" summaryRight="1"/>
    <pageSetUpPr fitToPage="1"/>
  </sheetPr>
  <dimension ref="A1:E94"/>
  <sheetViews>
    <sheetView showGridLines="0" zoomScale="100" workbookViewId="0">
      <selection activeCell="A1" sqref="A1"/>
    </sheetView>
  </sheetViews>
  <sheetFormatPr baseColWidth="8" defaultRowHeight="15"/>
  <cols>
    <col width="14" customWidth="1" min="2" max="2"/>
    <col width="30" customWidth="1" min="3" max="3"/>
    <col width="14" customWidth="1" min="4" max="4"/>
    <col width="16" customWidth="1" min="5" max="5"/>
  </cols>
  <sheetData>
    <row r="1" ht="8" customHeight="1">
      <c r="A1" s="9" t="n"/>
      <c r="B1" s="10" t="inlineStr">
        <is>
          <t>‹ Dashboard</t>
        </is>
      </c>
      <c r="C1" s="10" t="inlineStr">
        <is>
          <t>‹ Start Here</t>
        </is>
      </c>
      <c r="D1" s="9" t="n"/>
      <c r="E1" s="9" t="n"/>
    </row>
    <row r="2" ht="30" customHeight="1">
      <c r="A2" s="9" t="n"/>
      <c r="B2" s="41" t="inlineStr">
        <is>
          <t>PLANNING CALENDAR</t>
        </is>
      </c>
      <c r="C2" s="9" t="n"/>
      <c r="D2" s="9" t="n"/>
      <c r="E2" s="9" t="n"/>
    </row>
    <row r="3" ht="20" customHeight="1">
      <c r="A3" s="16" t="n"/>
      <c r="B3" s="42" t="inlineStr">
        <is>
          <t>Every task deadline and payment due date, gathered in one chronological view.</t>
        </is>
      </c>
      <c r="C3" s="16" t="n"/>
      <c r="D3" s="16" t="n"/>
      <c r="E3" s="16" t="n"/>
    </row>
    <row r="5">
      <c r="B5" s="5" t="inlineStr">
        <is>
          <t>TASK DEADLINES</t>
        </is>
      </c>
    </row>
    <row r="6">
      <c r="B6" s="43" t="inlineStr">
        <is>
          <t>Due Date</t>
        </is>
      </c>
      <c r="C6" s="43" t="inlineStr">
        <is>
          <t>Task</t>
        </is>
      </c>
      <c r="D6" s="43" t="inlineStr">
        <is>
          <t>Category</t>
        </is>
      </c>
      <c r="E6" s="43" t="inlineStr">
        <is>
          <t>Status</t>
        </is>
      </c>
    </row>
    <row r="7">
      <c r="B7" s="58">
        <f>IF('Master Checklist'!G6="","",'Master Checklist'!G6)</f>
        <v/>
      </c>
      <c r="C7" s="54">
        <f>IF('Master Checklist'!C6="","",'Master Checklist'!C6)</f>
        <v/>
      </c>
      <c r="D7" s="54">
        <f>IF('Master Checklist'!D6="","",'Master Checklist'!D6)</f>
        <v/>
      </c>
      <c r="E7" s="50">
        <f>IF('Master Checklist'!H6="","",'Master Checklist'!H6)</f>
        <v/>
      </c>
    </row>
    <row r="8">
      <c r="B8" s="59">
        <f>IF('Master Checklist'!G7="","",'Master Checklist'!G7)</f>
        <v/>
      </c>
      <c r="C8" s="55">
        <f>IF('Master Checklist'!C7="","",'Master Checklist'!C7)</f>
        <v/>
      </c>
      <c r="D8" s="55">
        <f>IF('Master Checklist'!D7="","",'Master Checklist'!D7)</f>
        <v/>
      </c>
      <c r="E8" s="52">
        <f>IF('Master Checklist'!H7="","",'Master Checklist'!H7)</f>
        <v/>
      </c>
    </row>
    <row r="9">
      <c r="B9" s="58">
        <f>IF('Master Checklist'!G8="","",'Master Checklist'!G8)</f>
        <v/>
      </c>
      <c r="C9" s="54">
        <f>IF('Master Checklist'!C8="","",'Master Checklist'!C8)</f>
        <v/>
      </c>
      <c r="D9" s="54">
        <f>IF('Master Checklist'!D8="","",'Master Checklist'!D8)</f>
        <v/>
      </c>
      <c r="E9" s="50">
        <f>IF('Master Checklist'!H8="","",'Master Checklist'!H8)</f>
        <v/>
      </c>
    </row>
    <row r="10">
      <c r="B10" s="59">
        <f>IF('Master Checklist'!G9="","",'Master Checklist'!G9)</f>
        <v/>
      </c>
      <c r="C10" s="55">
        <f>IF('Master Checklist'!C9="","",'Master Checklist'!C9)</f>
        <v/>
      </c>
      <c r="D10" s="55">
        <f>IF('Master Checklist'!D9="","",'Master Checklist'!D9)</f>
        <v/>
      </c>
      <c r="E10" s="52">
        <f>IF('Master Checklist'!H9="","",'Master Checklist'!H9)</f>
        <v/>
      </c>
    </row>
    <row r="11">
      <c r="B11" s="58">
        <f>IF('Master Checklist'!G10="","",'Master Checklist'!G10)</f>
        <v/>
      </c>
      <c r="C11" s="54">
        <f>IF('Master Checklist'!C10="","",'Master Checklist'!C10)</f>
        <v/>
      </c>
      <c r="D11" s="54">
        <f>IF('Master Checklist'!D10="","",'Master Checklist'!D10)</f>
        <v/>
      </c>
      <c r="E11" s="50">
        <f>IF('Master Checklist'!H10="","",'Master Checklist'!H10)</f>
        <v/>
      </c>
    </row>
    <row r="12">
      <c r="B12" s="59">
        <f>IF('Master Checklist'!G11="","",'Master Checklist'!G11)</f>
        <v/>
      </c>
      <c r="C12" s="55">
        <f>IF('Master Checklist'!C11="","",'Master Checklist'!C11)</f>
        <v/>
      </c>
      <c r="D12" s="55">
        <f>IF('Master Checklist'!D11="","",'Master Checklist'!D11)</f>
        <v/>
      </c>
      <c r="E12" s="52">
        <f>IF('Master Checklist'!H11="","",'Master Checklist'!H11)</f>
        <v/>
      </c>
    </row>
    <row r="13">
      <c r="B13" s="58">
        <f>IF('Master Checklist'!G12="","",'Master Checklist'!G12)</f>
        <v/>
      </c>
      <c r="C13" s="54">
        <f>IF('Master Checklist'!C12="","",'Master Checklist'!C12)</f>
        <v/>
      </c>
      <c r="D13" s="54">
        <f>IF('Master Checklist'!D12="","",'Master Checklist'!D12)</f>
        <v/>
      </c>
      <c r="E13" s="50">
        <f>IF('Master Checklist'!H12="","",'Master Checklist'!H12)</f>
        <v/>
      </c>
    </row>
    <row r="14">
      <c r="B14" s="59">
        <f>IF('Master Checklist'!G13="","",'Master Checklist'!G13)</f>
        <v/>
      </c>
      <c r="C14" s="55">
        <f>IF('Master Checklist'!C13="","",'Master Checklist'!C13)</f>
        <v/>
      </c>
      <c r="D14" s="55">
        <f>IF('Master Checklist'!D13="","",'Master Checklist'!D13)</f>
        <v/>
      </c>
      <c r="E14" s="52">
        <f>IF('Master Checklist'!H13="","",'Master Checklist'!H13)</f>
        <v/>
      </c>
    </row>
    <row r="15">
      <c r="B15" s="58">
        <f>IF('Master Checklist'!G14="","",'Master Checklist'!G14)</f>
        <v/>
      </c>
      <c r="C15" s="54">
        <f>IF('Master Checklist'!C14="","",'Master Checklist'!C14)</f>
        <v/>
      </c>
      <c r="D15" s="54">
        <f>IF('Master Checklist'!D14="","",'Master Checklist'!D14)</f>
        <v/>
      </c>
      <c r="E15" s="50">
        <f>IF('Master Checklist'!H14="","",'Master Checklist'!H14)</f>
        <v/>
      </c>
    </row>
    <row r="16">
      <c r="B16" s="59">
        <f>IF('Master Checklist'!G15="","",'Master Checklist'!G15)</f>
        <v/>
      </c>
      <c r="C16" s="55">
        <f>IF('Master Checklist'!C15="","",'Master Checklist'!C15)</f>
        <v/>
      </c>
      <c r="D16" s="55">
        <f>IF('Master Checklist'!D15="","",'Master Checklist'!D15)</f>
        <v/>
      </c>
      <c r="E16" s="52">
        <f>IF('Master Checklist'!H15="","",'Master Checklist'!H15)</f>
        <v/>
      </c>
    </row>
    <row r="17">
      <c r="B17" s="58">
        <f>IF('Master Checklist'!G16="","",'Master Checklist'!G16)</f>
        <v/>
      </c>
      <c r="C17" s="54">
        <f>IF('Master Checklist'!C16="","",'Master Checklist'!C16)</f>
        <v/>
      </c>
      <c r="D17" s="54">
        <f>IF('Master Checklist'!D16="","",'Master Checklist'!D16)</f>
        <v/>
      </c>
      <c r="E17" s="50">
        <f>IF('Master Checklist'!H16="","",'Master Checklist'!H16)</f>
        <v/>
      </c>
    </row>
    <row r="18">
      <c r="B18" s="59">
        <f>IF('Master Checklist'!G17="","",'Master Checklist'!G17)</f>
        <v/>
      </c>
      <c r="C18" s="55">
        <f>IF('Master Checklist'!C17="","",'Master Checklist'!C17)</f>
        <v/>
      </c>
      <c r="D18" s="55">
        <f>IF('Master Checklist'!D17="","",'Master Checklist'!D17)</f>
        <v/>
      </c>
      <c r="E18" s="52">
        <f>IF('Master Checklist'!H17="","",'Master Checklist'!H17)</f>
        <v/>
      </c>
    </row>
    <row r="19">
      <c r="B19" s="58">
        <f>IF('Master Checklist'!G18="","",'Master Checklist'!G18)</f>
        <v/>
      </c>
      <c r="C19" s="54">
        <f>IF('Master Checklist'!C18="","",'Master Checklist'!C18)</f>
        <v/>
      </c>
      <c r="D19" s="54">
        <f>IF('Master Checklist'!D18="","",'Master Checklist'!D18)</f>
        <v/>
      </c>
      <c r="E19" s="50">
        <f>IF('Master Checklist'!H18="","",'Master Checklist'!H18)</f>
        <v/>
      </c>
    </row>
    <row r="20">
      <c r="B20" s="59">
        <f>IF('Master Checklist'!G19="","",'Master Checklist'!G19)</f>
        <v/>
      </c>
      <c r="C20" s="55">
        <f>IF('Master Checklist'!C19="","",'Master Checklist'!C19)</f>
        <v/>
      </c>
      <c r="D20" s="55">
        <f>IF('Master Checklist'!D19="","",'Master Checklist'!D19)</f>
        <v/>
      </c>
      <c r="E20" s="52">
        <f>IF('Master Checklist'!H19="","",'Master Checklist'!H19)</f>
        <v/>
      </c>
    </row>
    <row r="21">
      <c r="B21" s="58">
        <f>IF('Master Checklist'!G20="","",'Master Checklist'!G20)</f>
        <v/>
      </c>
      <c r="C21" s="54">
        <f>IF('Master Checklist'!C20="","",'Master Checklist'!C20)</f>
        <v/>
      </c>
      <c r="D21" s="54">
        <f>IF('Master Checklist'!D20="","",'Master Checklist'!D20)</f>
        <v/>
      </c>
      <c r="E21" s="50">
        <f>IF('Master Checklist'!H20="","",'Master Checklist'!H20)</f>
        <v/>
      </c>
    </row>
    <row r="22">
      <c r="B22" s="59">
        <f>IF('Master Checklist'!G21="","",'Master Checklist'!G21)</f>
        <v/>
      </c>
      <c r="C22" s="55">
        <f>IF('Master Checklist'!C21="","",'Master Checklist'!C21)</f>
        <v/>
      </c>
      <c r="D22" s="55">
        <f>IF('Master Checklist'!D21="","",'Master Checklist'!D21)</f>
        <v/>
      </c>
      <c r="E22" s="52">
        <f>IF('Master Checklist'!H21="","",'Master Checklist'!H21)</f>
        <v/>
      </c>
    </row>
    <row r="23">
      <c r="B23" s="58">
        <f>IF('Master Checklist'!G22="","",'Master Checklist'!G22)</f>
        <v/>
      </c>
      <c r="C23" s="54">
        <f>IF('Master Checklist'!C22="","",'Master Checklist'!C22)</f>
        <v/>
      </c>
      <c r="D23" s="54">
        <f>IF('Master Checklist'!D22="","",'Master Checklist'!D22)</f>
        <v/>
      </c>
      <c r="E23" s="50">
        <f>IF('Master Checklist'!H22="","",'Master Checklist'!H22)</f>
        <v/>
      </c>
    </row>
    <row r="24">
      <c r="B24" s="59">
        <f>IF('Master Checklist'!G23="","",'Master Checklist'!G23)</f>
        <v/>
      </c>
      <c r="C24" s="55">
        <f>IF('Master Checklist'!C23="","",'Master Checklist'!C23)</f>
        <v/>
      </c>
      <c r="D24" s="55">
        <f>IF('Master Checklist'!D23="","",'Master Checklist'!D23)</f>
        <v/>
      </c>
      <c r="E24" s="52">
        <f>IF('Master Checklist'!H23="","",'Master Checklist'!H23)</f>
        <v/>
      </c>
    </row>
    <row r="25">
      <c r="B25" s="58">
        <f>IF('Master Checklist'!G24="","",'Master Checklist'!G24)</f>
        <v/>
      </c>
      <c r="C25" s="54">
        <f>IF('Master Checklist'!C24="","",'Master Checklist'!C24)</f>
        <v/>
      </c>
      <c r="D25" s="54">
        <f>IF('Master Checklist'!D24="","",'Master Checklist'!D24)</f>
        <v/>
      </c>
      <c r="E25" s="50">
        <f>IF('Master Checklist'!H24="","",'Master Checklist'!H24)</f>
        <v/>
      </c>
    </row>
    <row r="26">
      <c r="B26" s="59">
        <f>IF('Master Checklist'!G25="","",'Master Checklist'!G25)</f>
        <v/>
      </c>
      <c r="C26" s="55">
        <f>IF('Master Checklist'!C25="","",'Master Checklist'!C25)</f>
        <v/>
      </c>
      <c r="D26" s="55">
        <f>IF('Master Checklist'!D25="","",'Master Checklist'!D25)</f>
        <v/>
      </c>
      <c r="E26" s="52">
        <f>IF('Master Checklist'!H25="","",'Master Checklist'!H25)</f>
        <v/>
      </c>
    </row>
    <row r="27">
      <c r="B27" s="58">
        <f>IF('Master Checklist'!G26="","",'Master Checklist'!G26)</f>
        <v/>
      </c>
      <c r="C27" s="54">
        <f>IF('Master Checklist'!C26="","",'Master Checklist'!C26)</f>
        <v/>
      </c>
      <c r="D27" s="54">
        <f>IF('Master Checklist'!D26="","",'Master Checklist'!D26)</f>
        <v/>
      </c>
      <c r="E27" s="50">
        <f>IF('Master Checklist'!H26="","",'Master Checklist'!H26)</f>
        <v/>
      </c>
    </row>
    <row r="28">
      <c r="B28" s="59">
        <f>IF('Master Checklist'!G27="","",'Master Checklist'!G27)</f>
        <v/>
      </c>
      <c r="C28" s="55">
        <f>IF('Master Checklist'!C27="","",'Master Checklist'!C27)</f>
        <v/>
      </c>
      <c r="D28" s="55">
        <f>IF('Master Checklist'!D27="","",'Master Checklist'!D27)</f>
        <v/>
      </c>
      <c r="E28" s="52">
        <f>IF('Master Checklist'!H27="","",'Master Checklist'!H27)</f>
        <v/>
      </c>
    </row>
    <row r="29">
      <c r="B29" s="58">
        <f>IF('Master Checklist'!G28="","",'Master Checklist'!G28)</f>
        <v/>
      </c>
      <c r="C29" s="54">
        <f>IF('Master Checklist'!C28="","",'Master Checklist'!C28)</f>
        <v/>
      </c>
      <c r="D29" s="54">
        <f>IF('Master Checklist'!D28="","",'Master Checklist'!D28)</f>
        <v/>
      </c>
      <c r="E29" s="50">
        <f>IF('Master Checklist'!H28="","",'Master Checklist'!H28)</f>
        <v/>
      </c>
    </row>
    <row r="30">
      <c r="B30" s="59">
        <f>IF('Master Checklist'!G29="","",'Master Checklist'!G29)</f>
        <v/>
      </c>
      <c r="C30" s="55">
        <f>IF('Master Checklist'!C29="","",'Master Checklist'!C29)</f>
        <v/>
      </c>
      <c r="D30" s="55">
        <f>IF('Master Checklist'!D29="","",'Master Checklist'!D29)</f>
        <v/>
      </c>
      <c r="E30" s="52">
        <f>IF('Master Checklist'!H29="","",'Master Checklist'!H29)</f>
        <v/>
      </c>
    </row>
    <row r="31">
      <c r="B31" s="58">
        <f>IF('Master Checklist'!G30="","",'Master Checklist'!G30)</f>
        <v/>
      </c>
      <c r="C31" s="54">
        <f>IF('Master Checklist'!C30="","",'Master Checklist'!C30)</f>
        <v/>
      </c>
      <c r="D31" s="54">
        <f>IF('Master Checklist'!D30="","",'Master Checklist'!D30)</f>
        <v/>
      </c>
      <c r="E31" s="50">
        <f>IF('Master Checklist'!H30="","",'Master Checklist'!H30)</f>
        <v/>
      </c>
    </row>
    <row r="32">
      <c r="B32" s="59">
        <f>IF('Master Checklist'!G31="","",'Master Checklist'!G31)</f>
        <v/>
      </c>
      <c r="C32" s="55">
        <f>IF('Master Checklist'!C31="","",'Master Checklist'!C31)</f>
        <v/>
      </c>
      <c r="D32" s="55">
        <f>IF('Master Checklist'!D31="","",'Master Checklist'!D31)</f>
        <v/>
      </c>
      <c r="E32" s="52">
        <f>IF('Master Checklist'!H31="","",'Master Checklist'!H31)</f>
        <v/>
      </c>
    </row>
    <row r="33">
      <c r="B33" s="58">
        <f>IF('Master Checklist'!G32="","",'Master Checklist'!G32)</f>
        <v/>
      </c>
      <c r="C33" s="54">
        <f>IF('Master Checklist'!C32="","",'Master Checklist'!C32)</f>
        <v/>
      </c>
      <c r="D33" s="54">
        <f>IF('Master Checklist'!D32="","",'Master Checklist'!D32)</f>
        <v/>
      </c>
      <c r="E33" s="50">
        <f>IF('Master Checklist'!H32="","",'Master Checklist'!H32)</f>
        <v/>
      </c>
    </row>
    <row r="34">
      <c r="B34" s="59">
        <f>IF('Master Checklist'!G33="","",'Master Checklist'!G33)</f>
        <v/>
      </c>
      <c r="C34" s="55">
        <f>IF('Master Checklist'!C33="","",'Master Checklist'!C33)</f>
        <v/>
      </c>
      <c r="D34" s="55">
        <f>IF('Master Checklist'!D33="","",'Master Checklist'!D33)</f>
        <v/>
      </c>
      <c r="E34" s="52">
        <f>IF('Master Checklist'!H33="","",'Master Checklist'!H33)</f>
        <v/>
      </c>
    </row>
    <row r="35">
      <c r="B35" s="58">
        <f>IF('Master Checklist'!G34="","",'Master Checklist'!G34)</f>
        <v/>
      </c>
      <c r="C35" s="54">
        <f>IF('Master Checklist'!C34="","",'Master Checklist'!C34)</f>
        <v/>
      </c>
      <c r="D35" s="54">
        <f>IF('Master Checklist'!D34="","",'Master Checklist'!D34)</f>
        <v/>
      </c>
      <c r="E35" s="50">
        <f>IF('Master Checklist'!H34="","",'Master Checklist'!H34)</f>
        <v/>
      </c>
    </row>
    <row r="36">
      <c r="B36" s="59">
        <f>IF('Master Checklist'!G35="","",'Master Checklist'!G35)</f>
        <v/>
      </c>
      <c r="C36" s="55">
        <f>IF('Master Checklist'!C35="","",'Master Checklist'!C35)</f>
        <v/>
      </c>
      <c r="D36" s="55">
        <f>IF('Master Checklist'!D35="","",'Master Checklist'!D35)</f>
        <v/>
      </c>
      <c r="E36" s="52">
        <f>IF('Master Checklist'!H35="","",'Master Checklist'!H35)</f>
        <v/>
      </c>
    </row>
    <row r="37">
      <c r="B37" s="58">
        <f>IF('Master Checklist'!G36="","",'Master Checklist'!G36)</f>
        <v/>
      </c>
      <c r="C37" s="54">
        <f>IF('Master Checklist'!C36="","",'Master Checklist'!C36)</f>
        <v/>
      </c>
      <c r="D37" s="54">
        <f>IF('Master Checklist'!D36="","",'Master Checklist'!D36)</f>
        <v/>
      </c>
      <c r="E37" s="50">
        <f>IF('Master Checklist'!H36="","",'Master Checklist'!H36)</f>
        <v/>
      </c>
    </row>
    <row r="38">
      <c r="B38" s="59">
        <f>IF('Master Checklist'!G37="","",'Master Checklist'!G37)</f>
        <v/>
      </c>
      <c r="C38" s="55">
        <f>IF('Master Checklist'!C37="","",'Master Checklist'!C37)</f>
        <v/>
      </c>
      <c r="D38" s="55">
        <f>IF('Master Checklist'!D37="","",'Master Checklist'!D37)</f>
        <v/>
      </c>
      <c r="E38" s="52">
        <f>IF('Master Checklist'!H37="","",'Master Checklist'!H37)</f>
        <v/>
      </c>
    </row>
    <row r="39">
      <c r="B39" s="58">
        <f>IF('Master Checklist'!G38="","",'Master Checklist'!G38)</f>
        <v/>
      </c>
      <c r="C39" s="54">
        <f>IF('Master Checklist'!C38="","",'Master Checklist'!C38)</f>
        <v/>
      </c>
      <c r="D39" s="54">
        <f>IF('Master Checklist'!D38="","",'Master Checklist'!D38)</f>
        <v/>
      </c>
      <c r="E39" s="50">
        <f>IF('Master Checklist'!H38="","",'Master Checklist'!H38)</f>
        <v/>
      </c>
    </row>
    <row r="40">
      <c r="B40" s="59">
        <f>IF('Master Checklist'!G39="","",'Master Checklist'!G39)</f>
        <v/>
      </c>
      <c r="C40" s="55">
        <f>IF('Master Checklist'!C39="","",'Master Checklist'!C39)</f>
        <v/>
      </c>
      <c r="D40" s="55">
        <f>IF('Master Checklist'!D39="","",'Master Checklist'!D39)</f>
        <v/>
      </c>
      <c r="E40" s="52">
        <f>IF('Master Checklist'!H39="","",'Master Checklist'!H39)</f>
        <v/>
      </c>
    </row>
    <row r="41">
      <c r="B41" s="58">
        <f>IF('Master Checklist'!G40="","",'Master Checklist'!G40)</f>
        <v/>
      </c>
      <c r="C41" s="54">
        <f>IF('Master Checklist'!C40="","",'Master Checklist'!C40)</f>
        <v/>
      </c>
      <c r="D41" s="54">
        <f>IF('Master Checklist'!D40="","",'Master Checklist'!D40)</f>
        <v/>
      </c>
      <c r="E41" s="50">
        <f>IF('Master Checklist'!H40="","",'Master Checklist'!H40)</f>
        <v/>
      </c>
    </row>
    <row r="42">
      <c r="B42" s="59">
        <f>IF('Master Checklist'!G41="","",'Master Checklist'!G41)</f>
        <v/>
      </c>
      <c r="C42" s="55">
        <f>IF('Master Checklist'!C41="","",'Master Checklist'!C41)</f>
        <v/>
      </c>
      <c r="D42" s="55">
        <f>IF('Master Checklist'!D41="","",'Master Checklist'!D41)</f>
        <v/>
      </c>
      <c r="E42" s="52">
        <f>IF('Master Checklist'!H41="","",'Master Checklist'!H41)</f>
        <v/>
      </c>
    </row>
    <row r="43">
      <c r="B43" s="58">
        <f>IF('Master Checklist'!G42="","",'Master Checklist'!G42)</f>
        <v/>
      </c>
      <c r="C43" s="54">
        <f>IF('Master Checklist'!C42="","",'Master Checklist'!C42)</f>
        <v/>
      </c>
      <c r="D43" s="54">
        <f>IF('Master Checklist'!D42="","",'Master Checklist'!D42)</f>
        <v/>
      </c>
      <c r="E43" s="50">
        <f>IF('Master Checklist'!H42="","",'Master Checklist'!H42)</f>
        <v/>
      </c>
    </row>
    <row r="44">
      <c r="B44" s="59">
        <f>IF('Master Checklist'!G43="","",'Master Checklist'!G43)</f>
        <v/>
      </c>
      <c r="C44" s="55">
        <f>IF('Master Checklist'!C43="","",'Master Checklist'!C43)</f>
        <v/>
      </c>
      <c r="D44" s="55">
        <f>IF('Master Checklist'!D43="","",'Master Checklist'!D43)</f>
        <v/>
      </c>
      <c r="E44" s="52">
        <f>IF('Master Checklist'!H43="","",'Master Checklist'!H43)</f>
        <v/>
      </c>
    </row>
    <row r="45">
      <c r="B45" s="58">
        <f>IF('Master Checklist'!G44="","",'Master Checklist'!G44)</f>
        <v/>
      </c>
      <c r="C45" s="54">
        <f>IF('Master Checklist'!C44="","",'Master Checklist'!C44)</f>
        <v/>
      </c>
      <c r="D45" s="54">
        <f>IF('Master Checklist'!D44="","",'Master Checklist'!D44)</f>
        <v/>
      </c>
      <c r="E45" s="50">
        <f>IF('Master Checklist'!H44="","",'Master Checklist'!H44)</f>
        <v/>
      </c>
    </row>
    <row r="46">
      <c r="B46" s="59">
        <f>IF('Master Checklist'!G45="","",'Master Checklist'!G45)</f>
        <v/>
      </c>
      <c r="C46" s="55">
        <f>IF('Master Checklist'!C45="","",'Master Checklist'!C45)</f>
        <v/>
      </c>
      <c r="D46" s="55">
        <f>IF('Master Checklist'!D45="","",'Master Checklist'!D45)</f>
        <v/>
      </c>
      <c r="E46" s="52">
        <f>IF('Master Checklist'!H45="","",'Master Checklist'!H45)</f>
        <v/>
      </c>
    </row>
    <row r="47">
      <c r="B47" s="58">
        <f>IF('Master Checklist'!G46="","",'Master Checklist'!G46)</f>
        <v/>
      </c>
      <c r="C47" s="54">
        <f>IF('Master Checklist'!C46="","",'Master Checklist'!C46)</f>
        <v/>
      </c>
      <c r="D47" s="54">
        <f>IF('Master Checklist'!D46="","",'Master Checklist'!D46)</f>
        <v/>
      </c>
      <c r="E47" s="50">
        <f>IF('Master Checklist'!H46="","",'Master Checklist'!H46)</f>
        <v/>
      </c>
    </row>
    <row r="48">
      <c r="B48" s="59">
        <f>IF('Master Checklist'!G47="","",'Master Checklist'!G47)</f>
        <v/>
      </c>
      <c r="C48" s="55">
        <f>IF('Master Checklist'!C47="","",'Master Checklist'!C47)</f>
        <v/>
      </c>
      <c r="D48" s="55">
        <f>IF('Master Checklist'!D47="","",'Master Checklist'!D47)</f>
        <v/>
      </c>
      <c r="E48" s="52">
        <f>IF('Master Checklist'!H47="","",'Master Checklist'!H47)</f>
        <v/>
      </c>
    </row>
    <row r="49">
      <c r="B49" s="58">
        <f>IF('Master Checklist'!G48="","",'Master Checklist'!G48)</f>
        <v/>
      </c>
      <c r="C49" s="54">
        <f>IF('Master Checklist'!C48="","",'Master Checklist'!C48)</f>
        <v/>
      </c>
      <c r="D49" s="54">
        <f>IF('Master Checklist'!D48="","",'Master Checklist'!D48)</f>
        <v/>
      </c>
      <c r="E49" s="50">
        <f>IF('Master Checklist'!H48="","",'Master Checklist'!H48)</f>
        <v/>
      </c>
    </row>
    <row r="50">
      <c r="B50" s="59">
        <f>IF('Master Checklist'!G49="","",'Master Checklist'!G49)</f>
        <v/>
      </c>
      <c r="C50" s="55">
        <f>IF('Master Checklist'!C49="","",'Master Checklist'!C49)</f>
        <v/>
      </c>
      <c r="D50" s="55">
        <f>IF('Master Checklist'!D49="","",'Master Checklist'!D49)</f>
        <v/>
      </c>
      <c r="E50" s="52">
        <f>IF('Master Checklist'!H49="","",'Master Checklist'!H49)</f>
        <v/>
      </c>
    </row>
    <row r="51">
      <c r="B51" s="58">
        <f>IF('Master Checklist'!G50="","",'Master Checklist'!G50)</f>
        <v/>
      </c>
      <c r="C51" s="54">
        <f>IF('Master Checklist'!C50="","",'Master Checklist'!C50)</f>
        <v/>
      </c>
      <c r="D51" s="54">
        <f>IF('Master Checklist'!D50="","",'Master Checklist'!D50)</f>
        <v/>
      </c>
      <c r="E51" s="50">
        <f>IF('Master Checklist'!H50="","",'Master Checklist'!H50)</f>
        <v/>
      </c>
    </row>
    <row r="52">
      <c r="B52" s="59">
        <f>IF('Master Checklist'!G51="","",'Master Checklist'!G51)</f>
        <v/>
      </c>
      <c r="C52" s="55">
        <f>IF('Master Checklist'!C51="","",'Master Checklist'!C51)</f>
        <v/>
      </c>
      <c r="D52" s="55">
        <f>IF('Master Checklist'!D51="","",'Master Checklist'!D51)</f>
        <v/>
      </c>
      <c r="E52" s="52">
        <f>IF('Master Checklist'!H51="","",'Master Checklist'!H51)</f>
        <v/>
      </c>
    </row>
    <row r="53">
      <c r="B53" s="58">
        <f>IF('Master Checklist'!G52="","",'Master Checklist'!G52)</f>
        <v/>
      </c>
      <c r="C53" s="54">
        <f>IF('Master Checklist'!C52="","",'Master Checklist'!C52)</f>
        <v/>
      </c>
      <c r="D53" s="54">
        <f>IF('Master Checklist'!D52="","",'Master Checklist'!D52)</f>
        <v/>
      </c>
      <c r="E53" s="50">
        <f>IF('Master Checklist'!H52="","",'Master Checklist'!H52)</f>
        <v/>
      </c>
    </row>
    <row r="54">
      <c r="B54" s="59">
        <f>IF('Master Checklist'!G53="","",'Master Checklist'!G53)</f>
        <v/>
      </c>
      <c r="C54" s="55">
        <f>IF('Master Checklist'!C53="","",'Master Checklist'!C53)</f>
        <v/>
      </c>
      <c r="D54" s="55">
        <f>IF('Master Checklist'!D53="","",'Master Checklist'!D53)</f>
        <v/>
      </c>
      <c r="E54" s="52">
        <f>IF('Master Checklist'!H53="","",'Master Checklist'!H53)</f>
        <v/>
      </c>
    </row>
    <row r="55">
      <c r="B55" s="58">
        <f>IF('Master Checklist'!G54="","",'Master Checklist'!G54)</f>
        <v/>
      </c>
      <c r="C55" s="54">
        <f>IF('Master Checklist'!C54="","",'Master Checklist'!C54)</f>
        <v/>
      </c>
      <c r="D55" s="54">
        <f>IF('Master Checklist'!D54="","",'Master Checklist'!D54)</f>
        <v/>
      </c>
      <c r="E55" s="50">
        <f>IF('Master Checklist'!H54="","",'Master Checklist'!H54)</f>
        <v/>
      </c>
    </row>
    <row r="56">
      <c r="B56" s="59">
        <f>IF('Master Checklist'!G55="","",'Master Checklist'!G55)</f>
        <v/>
      </c>
      <c r="C56" s="55">
        <f>IF('Master Checklist'!C55="","",'Master Checklist'!C55)</f>
        <v/>
      </c>
      <c r="D56" s="55">
        <f>IF('Master Checklist'!D55="","",'Master Checklist'!D55)</f>
        <v/>
      </c>
      <c r="E56" s="52">
        <f>IF('Master Checklist'!H55="","",'Master Checklist'!H55)</f>
        <v/>
      </c>
    </row>
    <row r="57">
      <c r="B57" s="58">
        <f>IF('Master Checklist'!G56="","",'Master Checklist'!G56)</f>
        <v/>
      </c>
      <c r="C57" s="54">
        <f>IF('Master Checklist'!C56="","",'Master Checklist'!C56)</f>
        <v/>
      </c>
      <c r="D57" s="54">
        <f>IF('Master Checklist'!D56="","",'Master Checklist'!D56)</f>
        <v/>
      </c>
      <c r="E57" s="50">
        <f>IF('Master Checklist'!H56="","",'Master Checklist'!H56)</f>
        <v/>
      </c>
    </row>
    <row r="58">
      <c r="B58" s="59">
        <f>IF('Master Checklist'!G57="","",'Master Checklist'!G57)</f>
        <v/>
      </c>
      <c r="C58" s="55">
        <f>IF('Master Checklist'!C57="","",'Master Checklist'!C57)</f>
        <v/>
      </c>
      <c r="D58" s="55">
        <f>IF('Master Checklist'!D57="","",'Master Checklist'!D57)</f>
        <v/>
      </c>
      <c r="E58" s="52">
        <f>IF('Master Checklist'!H57="","",'Master Checklist'!H57)</f>
        <v/>
      </c>
    </row>
    <row r="59">
      <c r="B59" s="58">
        <f>IF('Master Checklist'!G58="","",'Master Checklist'!G58)</f>
        <v/>
      </c>
      <c r="C59" s="54">
        <f>IF('Master Checklist'!C58="","",'Master Checklist'!C58)</f>
        <v/>
      </c>
      <c r="D59" s="54">
        <f>IF('Master Checklist'!D58="","",'Master Checklist'!D58)</f>
        <v/>
      </c>
      <c r="E59" s="50">
        <f>IF('Master Checklist'!H58="","",'Master Checklist'!H58)</f>
        <v/>
      </c>
    </row>
    <row r="60">
      <c r="B60" s="59">
        <f>IF('Master Checklist'!G59="","",'Master Checklist'!G59)</f>
        <v/>
      </c>
      <c r="C60" s="55">
        <f>IF('Master Checklist'!C59="","",'Master Checklist'!C59)</f>
        <v/>
      </c>
      <c r="D60" s="55">
        <f>IF('Master Checklist'!D59="","",'Master Checklist'!D59)</f>
        <v/>
      </c>
      <c r="E60" s="52">
        <f>IF('Master Checklist'!H59="","",'Master Checklist'!H59)</f>
        <v/>
      </c>
    </row>
    <row r="61">
      <c r="B61" s="58">
        <f>IF('Master Checklist'!G60="","",'Master Checklist'!G60)</f>
        <v/>
      </c>
      <c r="C61" s="54">
        <f>IF('Master Checklist'!C60="","",'Master Checklist'!C60)</f>
        <v/>
      </c>
      <c r="D61" s="54">
        <f>IF('Master Checklist'!D60="","",'Master Checklist'!D60)</f>
        <v/>
      </c>
      <c r="E61" s="50">
        <f>IF('Master Checklist'!H60="","",'Master Checklist'!H60)</f>
        <v/>
      </c>
    </row>
    <row r="62">
      <c r="B62" s="59">
        <f>IF('Master Checklist'!G61="","",'Master Checklist'!G61)</f>
        <v/>
      </c>
      <c r="C62" s="55">
        <f>IF('Master Checklist'!C61="","",'Master Checklist'!C61)</f>
        <v/>
      </c>
      <c r="D62" s="55">
        <f>IF('Master Checklist'!D61="","",'Master Checklist'!D61)</f>
        <v/>
      </c>
      <c r="E62" s="52">
        <f>IF('Master Checklist'!H61="","",'Master Checklist'!H61)</f>
        <v/>
      </c>
    </row>
    <row r="63">
      <c r="B63" s="58">
        <f>IF('Master Checklist'!G62="","",'Master Checklist'!G62)</f>
        <v/>
      </c>
      <c r="C63" s="54">
        <f>IF('Master Checklist'!C62="","",'Master Checklist'!C62)</f>
        <v/>
      </c>
      <c r="D63" s="54">
        <f>IF('Master Checklist'!D62="","",'Master Checklist'!D62)</f>
        <v/>
      </c>
      <c r="E63" s="50">
        <f>IF('Master Checklist'!H62="","",'Master Checklist'!H62)</f>
        <v/>
      </c>
    </row>
    <row r="64">
      <c r="B64" s="59">
        <f>IF('Master Checklist'!G63="","",'Master Checklist'!G63)</f>
        <v/>
      </c>
      <c r="C64" s="55">
        <f>IF('Master Checklist'!C63="","",'Master Checklist'!C63)</f>
        <v/>
      </c>
      <c r="D64" s="55">
        <f>IF('Master Checklist'!D63="","",'Master Checklist'!D63)</f>
        <v/>
      </c>
      <c r="E64" s="52">
        <f>IF('Master Checklist'!H63="","",'Master Checklist'!H63)</f>
        <v/>
      </c>
    </row>
    <row r="65">
      <c r="B65" s="58">
        <f>IF('Master Checklist'!G64="","",'Master Checklist'!G64)</f>
        <v/>
      </c>
      <c r="C65" s="54">
        <f>IF('Master Checklist'!C64="","",'Master Checklist'!C64)</f>
        <v/>
      </c>
      <c r="D65" s="54">
        <f>IF('Master Checklist'!D64="","",'Master Checklist'!D64)</f>
        <v/>
      </c>
      <c r="E65" s="50">
        <f>IF('Master Checklist'!H64="","",'Master Checklist'!H64)</f>
        <v/>
      </c>
    </row>
    <row r="66">
      <c r="B66" s="59">
        <f>IF('Master Checklist'!G65="","",'Master Checklist'!G65)</f>
        <v/>
      </c>
      <c r="C66" s="55">
        <f>IF('Master Checklist'!C65="","",'Master Checklist'!C65)</f>
        <v/>
      </c>
      <c r="D66" s="55">
        <f>IF('Master Checklist'!D65="","",'Master Checklist'!D65)</f>
        <v/>
      </c>
      <c r="E66" s="52">
        <f>IF('Master Checklist'!H65="","",'Master Checklist'!H65)</f>
        <v/>
      </c>
    </row>
    <row r="69">
      <c r="B69" s="5" t="inlineStr">
        <is>
          <t>PAYMENT DEADLINES</t>
        </is>
      </c>
    </row>
    <row r="70">
      <c r="B70" s="43" t="inlineStr">
        <is>
          <t>Due Date</t>
        </is>
      </c>
      <c r="C70" s="43" t="inlineStr">
        <is>
          <t>Vendor / Expense</t>
        </is>
      </c>
      <c r="D70" s="43" t="inlineStr">
        <is>
          <t>Amount</t>
        </is>
      </c>
      <c r="E70" s="43" t="inlineStr">
        <is>
          <t>Status</t>
        </is>
      </c>
    </row>
    <row r="71">
      <c r="B71" s="58">
        <f>IF(Payments!H6="","",Payments!H6)</f>
        <v/>
      </c>
      <c r="C71" s="54">
        <f>IF(Payments!B6="","",Payments!B6&amp;" - "&amp;Payments!C6)</f>
        <v/>
      </c>
      <c r="D71" s="60">
        <f>IF(Payments!F6="","",Payments!F6)</f>
        <v/>
      </c>
      <c r="E71" s="50">
        <f>IF(Payments!I6="","",Payments!I6)</f>
        <v/>
      </c>
    </row>
    <row r="72">
      <c r="B72" s="59">
        <f>IF(Payments!H7="","",Payments!H7)</f>
        <v/>
      </c>
      <c r="C72" s="55">
        <f>IF(Payments!B7="","",Payments!B7&amp;" - "&amp;Payments!C7)</f>
        <v/>
      </c>
      <c r="D72" s="61">
        <f>IF(Payments!F7="","",Payments!F7)</f>
        <v/>
      </c>
      <c r="E72" s="52">
        <f>IF(Payments!I7="","",Payments!I7)</f>
        <v/>
      </c>
    </row>
    <row r="73">
      <c r="B73" s="58">
        <f>IF(Payments!H8="","",Payments!H8)</f>
        <v/>
      </c>
      <c r="C73" s="54">
        <f>IF(Payments!B8="","",Payments!B8&amp;" - "&amp;Payments!C8)</f>
        <v/>
      </c>
      <c r="D73" s="60">
        <f>IF(Payments!F8="","",Payments!F8)</f>
        <v/>
      </c>
      <c r="E73" s="50">
        <f>IF(Payments!I8="","",Payments!I8)</f>
        <v/>
      </c>
    </row>
    <row r="74">
      <c r="B74" s="59">
        <f>IF(Payments!H9="","",Payments!H9)</f>
        <v/>
      </c>
      <c r="C74" s="55">
        <f>IF(Payments!B9="","",Payments!B9&amp;" - "&amp;Payments!C9)</f>
        <v/>
      </c>
      <c r="D74" s="61">
        <f>IF(Payments!F9="","",Payments!F9)</f>
        <v/>
      </c>
      <c r="E74" s="52">
        <f>IF(Payments!I9="","",Payments!I9)</f>
        <v/>
      </c>
    </row>
    <row r="75">
      <c r="B75" s="58">
        <f>IF(Payments!H10="","",Payments!H10)</f>
        <v/>
      </c>
      <c r="C75" s="54">
        <f>IF(Payments!B10="","",Payments!B10&amp;" - "&amp;Payments!C10)</f>
        <v/>
      </c>
      <c r="D75" s="60">
        <f>IF(Payments!F10="","",Payments!F10)</f>
        <v/>
      </c>
      <c r="E75" s="50">
        <f>IF(Payments!I10="","",Payments!I10)</f>
        <v/>
      </c>
    </row>
    <row r="76">
      <c r="B76" s="59">
        <f>IF(Payments!H11="","",Payments!H11)</f>
        <v/>
      </c>
      <c r="C76" s="55">
        <f>IF(Payments!B11="","",Payments!B11&amp;" - "&amp;Payments!C11)</f>
        <v/>
      </c>
      <c r="D76" s="61">
        <f>IF(Payments!F11="","",Payments!F11)</f>
        <v/>
      </c>
      <c r="E76" s="52">
        <f>IF(Payments!I11="","",Payments!I11)</f>
        <v/>
      </c>
    </row>
    <row r="77">
      <c r="B77" s="58">
        <f>IF(Payments!H12="","",Payments!H12)</f>
        <v/>
      </c>
      <c r="C77" s="54">
        <f>IF(Payments!B12="","",Payments!B12&amp;" - "&amp;Payments!C12)</f>
        <v/>
      </c>
      <c r="D77" s="60">
        <f>IF(Payments!F12="","",Payments!F12)</f>
        <v/>
      </c>
      <c r="E77" s="50">
        <f>IF(Payments!I12="","",Payments!I12)</f>
        <v/>
      </c>
    </row>
    <row r="78">
      <c r="B78" s="59">
        <f>IF(Payments!H13="","",Payments!H13)</f>
        <v/>
      </c>
      <c r="C78" s="55">
        <f>IF(Payments!B13="","",Payments!B13&amp;" - "&amp;Payments!C13)</f>
        <v/>
      </c>
      <c r="D78" s="61">
        <f>IF(Payments!F13="","",Payments!F13)</f>
        <v/>
      </c>
      <c r="E78" s="52">
        <f>IF(Payments!I13="","",Payments!I13)</f>
        <v/>
      </c>
    </row>
    <row r="79">
      <c r="B79" s="58">
        <f>IF(Payments!H14="","",Payments!H14)</f>
        <v/>
      </c>
      <c r="C79" s="54">
        <f>IF(Payments!B14="","",Payments!B14&amp;" - "&amp;Payments!C14)</f>
        <v/>
      </c>
      <c r="D79" s="60">
        <f>IF(Payments!F14="","",Payments!F14)</f>
        <v/>
      </c>
      <c r="E79" s="50">
        <f>IF(Payments!I14="","",Payments!I14)</f>
        <v/>
      </c>
    </row>
    <row r="80">
      <c r="B80" s="59">
        <f>IF(Payments!H15="","",Payments!H15)</f>
        <v/>
      </c>
      <c r="C80" s="55">
        <f>IF(Payments!B15="","",Payments!B15&amp;" - "&amp;Payments!C15)</f>
        <v/>
      </c>
      <c r="D80" s="61">
        <f>IF(Payments!F15="","",Payments!F15)</f>
        <v/>
      </c>
      <c r="E80" s="52">
        <f>IF(Payments!I15="","",Payments!I15)</f>
        <v/>
      </c>
    </row>
    <row r="81">
      <c r="B81" s="58">
        <f>IF(Payments!H16="","",Payments!H16)</f>
        <v/>
      </c>
      <c r="C81" s="54">
        <f>IF(Payments!B16="","",Payments!B16&amp;" - "&amp;Payments!C16)</f>
        <v/>
      </c>
      <c r="D81" s="60">
        <f>IF(Payments!F16="","",Payments!F16)</f>
        <v/>
      </c>
      <c r="E81" s="50">
        <f>IF(Payments!I16="","",Payments!I16)</f>
        <v/>
      </c>
    </row>
    <row r="82">
      <c r="B82" s="59">
        <f>IF(Payments!H17="","",Payments!H17)</f>
        <v/>
      </c>
      <c r="C82" s="55">
        <f>IF(Payments!B17="","",Payments!B17&amp;" - "&amp;Payments!C17)</f>
        <v/>
      </c>
      <c r="D82" s="61">
        <f>IF(Payments!F17="","",Payments!F17)</f>
        <v/>
      </c>
      <c r="E82" s="52">
        <f>IF(Payments!I17="","",Payments!I17)</f>
        <v/>
      </c>
    </row>
    <row r="83">
      <c r="B83" s="58">
        <f>IF(Payments!H18="","",Payments!H18)</f>
        <v/>
      </c>
      <c r="C83" s="54">
        <f>IF(Payments!B18="","",Payments!B18&amp;" - "&amp;Payments!C18)</f>
        <v/>
      </c>
      <c r="D83" s="60">
        <f>IF(Payments!F18="","",Payments!F18)</f>
        <v/>
      </c>
      <c r="E83" s="50">
        <f>IF(Payments!I18="","",Payments!I18)</f>
        <v/>
      </c>
    </row>
    <row r="84">
      <c r="B84" s="59">
        <f>IF(Payments!H19="","",Payments!H19)</f>
        <v/>
      </c>
      <c r="C84" s="55">
        <f>IF(Payments!B19="","",Payments!B19&amp;" - "&amp;Payments!C19)</f>
        <v/>
      </c>
      <c r="D84" s="61">
        <f>IF(Payments!F19="","",Payments!F19)</f>
        <v/>
      </c>
      <c r="E84" s="52">
        <f>IF(Payments!I19="","",Payments!I19)</f>
        <v/>
      </c>
    </row>
    <row r="85">
      <c r="B85" s="58">
        <f>IF(Payments!H20="","",Payments!H20)</f>
        <v/>
      </c>
      <c r="C85" s="54">
        <f>IF(Payments!B20="","",Payments!B20&amp;" - "&amp;Payments!C20)</f>
        <v/>
      </c>
      <c r="D85" s="60">
        <f>IF(Payments!F20="","",Payments!F20)</f>
        <v/>
      </c>
      <c r="E85" s="50">
        <f>IF(Payments!I20="","",Payments!I20)</f>
        <v/>
      </c>
    </row>
    <row r="86">
      <c r="B86" s="59">
        <f>IF(Payments!H21="","",Payments!H21)</f>
        <v/>
      </c>
      <c r="C86" s="55">
        <f>IF(Payments!B21="","",Payments!B21&amp;" - "&amp;Payments!C21)</f>
        <v/>
      </c>
      <c r="D86" s="61">
        <f>IF(Payments!F21="","",Payments!F21)</f>
        <v/>
      </c>
      <c r="E86" s="52">
        <f>IF(Payments!I21="","",Payments!I21)</f>
        <v/>
      </c>
    </row>
    <row r="87">
      <c r="B87" s="58">
        <f>IF(Payments!H22="","",Payments!H22)</f>
        <v/>
      </c>
      <c r="C87" s="54">
        <f>IF(Payments!B22="","",Payments!B22&amp;" - "&amp;Payments!C22)</f>
        <v/>
      </c>
      <c r="D87" s="60">
        <f>IF(Payments!F22="","",Payments!F22)</f>
        <v/>
      </c>
      <c r="E87" s="50">
        <f>IF(Payments!I22="","",Payments!I22)</f>
        <v/>
      </c>
    </row>
    <row r="88">
      <c r="B88" s="59">
        <f>IF(Payments!H23="","",Payments!H23)</f>
        <v/>
      </c>
      <c r="C88" s="55">
        <f>IF(Payments!B23="","",Payments!B23&amp;" - "&amp;Payments!C23)</f>
        <v/>
      </c>
      <c r="D88" s="61">
        <f>IF(Payments!F23="","",Payments!F23)</f>
        <v/>
      </c>
      <c r="E88" s="52">
        <f>IF(Payments!I23="","",Payments!I23)</f>
        <v/>
      </c>
    </row>
    <row r="89">
      <c r="B89" s="58">
        <f>IF(Payments!H24="","",Payments!H24)</f>
        <v/>
      </c>
      <c r="C89" s="54">
        <f>IF(Payments!B24="","",Payments!B24&amp;" - "&amp;Payments!C24)</f>
        <v/>
      </c>
      <c r="D89" s="60">
        <f>IF(Payments!F24="","",Payments!F24)</f>
        <v/>
      </c>
      <c r="E89" s="50">
        <f>IF(Payments!I24="","",Payments!I24)</f>
        <v/>
      </c>
    </row>
    <row r="90">
      <c r="B90" s="59">
        <f>IF(Payments!H25="","",Payments!H25)</f>
        <v/>
      </c>
      <c r="C90" s="55">
        <f>IF(Payments!B25="","",Payments!B25&amp;" - "&amp;Payments!C25)</f>
        <v/>
      </c>
      <c r="D90" s="61">
        <f>IF(Payments!F25="","",Payments!F25)</f>
        <v/>
      </c>
      <c r="E90" s="52">
        <f>IF(Payments!I25="","",Payments!I25)</f>
        <v/>
      </c>
    </row>
    <row r="91">
      <c r="B91" s="58">
        <f>IF(Payments!H26="","",Payments!H26)</f>
        <v/>
      </c>
      <c r="C91" s="54">
        <f>IF(Payments!B26="","",Payments!B26&amp;" - "&amp;Payments!C26)</f>
        <v/>
      </c>
      <c r="D91" s="60">
        <f>IF(Payments!F26="","",Payments!F26)</f>
        <v/>
      </c>
      <c r="E91" s="50">
        <f>IF(Payments!I26="","",Payments!I26)</f>
        <v/>
      </c>
    </row>
    <row r="92">
      <c r="B92" s="59">
        <f>IF(Payments!H27="","",Payments!H27)</f>
        <v/>
      </c>
      <c r="C92" s="55">
        <f>IF(Payments!B27="","",Payments!B27&amp;" - "&amp;Payments!C27)</f>
        <v/>
      </c>
      <c r="D92" s="61">
        <f>IF(Payments!F27="","",Payments!F27)</f>
        <v/>
      </c>
      <c r="E92" s="52">
        <f>IF(Payments!I27="","",Payments!I27)</f>
        <v/>
      </c>
    </row>
    <row r="93">
      <c r="B93" s="58">
        <f>IF(Payments!H28="","",Payments!H28)</f>
        <v/>
      </c>
      <c r="C93" s="54">
        <f>IF(Payments!B28="","",Payments!B28&amp;" - "&amp;Payments!C28)</f>
        <v/>
      </c>
      <c r="D93" s="60">
        <f>IF(Payments!F28="","",Payments!F28)</f>
        <v/>
      </c>
      <c r="E93" s="50">
        <f>IF(Payments!I28="","",Payments!I28)</f>
        <v/>
      </c>
    </row>
    <row r="94">
      <c r="B94" s="59">
        <f>IF(Payments!H29="","",Payments!H29)</f>
        <v/>
      </c>
      <c r="C94" s="55">
        <f>IF(Payments!B29="","",Payments!B29&amp;" - "&amp;Payments!C29)</f>
        <v/>
      </c>
      <c r="D94" s="61">
        <f>IF(Payments!F29="","",Payments!F29)</f>
        <v/>
      </c>
      <c r="E94" s="52">
        <f>IF(Payments!I29="","",Payments!I29)</f>
        <v/>
      </c>
    </row>
  </sheetData>
  <mergeCells count="2">
    <mergeCell ref="B69:E69"/>
    <mergeCell ref="B5:E5"/>
  </mergeCells>
  <conditionalFormatting sqref="E7:E66">
    <cfRule type="expression" priority="1" dxfId="0">
      <formula>EXACT(TRIM(E7),"Completed")</formula>
    </cfRule>
    <cfRule type="expression" priority="2" dxfId="1">
      <formula>EXACT(TRIM(E7),"Overdue")</formula>
    </cfRule>
    <cfRule type="expression" priority="3" dxfId="2">
      <formula>EXACT(TRIM(E7),"In Progress")</formula>
    </cfRule>
  </conditionalFormatting>
  <conditionalFormatting sqref="B7:B66">
    <cfRule type="expression" priority="4" dxfId="1">
      <formula>AND(B7&lt;&gt;"",B7&lt;TODAY(),E7&lt;&gt;"Completed")</formula>
    </cfRule>
  </conditionalFormatting>
  <conditionalFormatting sqref="E71:E94">
    <cfRule type="expression" priority="5" dxfId="0">
      <formula>EXACT(TRIM(E71),"Paid in Full")</formula>
    </cfRule>
    <cfRule type="expression" priority="6" dxfId="1">
      <formula>EXACT(TRIM(E71),"Overdue")</formula>
    </cfRule>
    <cfRule type="expression" priority="7" dxfId="2">
      <formula>EXACT(TRIM(E71),"Deposit Paid")</formula>
    </cfRule>
  </conditionalFormatting>
  <hyperlinks>
    <hyperlink ref="B1" location="'Dashboard'!A1"/>
    <hyperlink ref="C1" location="'START HERE'!A1"/>
  </hyperlinks>
  <pageMargins left="0.5" right="0.5" top="0.6" bottom="0.6" header="0.5" footer="0.5"/>
  <pageSetup orientation="portrait" fitToHeight="0" fitToWidth="1"/>
</worksheet>
</file>

<file path=xl/worksheets/sheet17.xml><?xml version="1.0" encoding="utf-8"?>
<worksheet xmlns="http://schemas.openxmlformats.org/spreadsheetml/2006/main">
  <sheetPr>
    <tabColor rgb="00C98F91"/>
    <outlinePr summaryBelow="1" summaryRight="1"/>
    <pageSetUpPr fitToPage="1"/>
  </sheetPr>
  <dimension ref="A1:F18"/>
  <sheetViews>
    <sheetView showGridLines="0" zoomScale="100" workbookViewId="0">
      <selection activeCell="A1" sqref="A1"/>
    </sheetView>
  </sheetViews>
  <sheetFormatPr baseColWidth="8" defaultRowHeight="15"/>
  <cols>
    <col width="26" customWidth="1" min="2" max="2"/>
    <col width="30" customWidth="1" min="3" max="3"/>
    <col width="4" customWidth="1" min="4" max="4"/>
    <col width="26" customWidth="1" min="5" max="5"/>
    <col width="30" customWidth="1" min="6" max="6"/>
  </cols>
  <sheetData>
    <row r="1" ht="8" customHeight="1">
      <c r="A1" s="9" t="n"/>
      <c r="B1" s="9" t="n"/>
      <c r="C1" s="9" t="n"/>
      <c r="D1" s="9" t="n"/>
      <c r="E1" s="9" t="n"/>
      <c r="F1" s="9" t="n"/>
    </row>
    <row r="2" ht="30" customHeight="1">
      <c r="A2" s="9" t="n"/>
      <c r="B2" s="41" t="inlineStr">
        <is>
          <t>SETTINGS</t>
        </is>
      </c>
      <c r="C2" s="9" t="n"/>
      <c r="D2" s="9" t="n"/>
      <c r="E2" s="9" t="n"/>
      <c r="F2" s="9" t="n"/>
    </row>
    <row r="3" ht="20" customHeight="1">
      <c r="A3" s="16" t="n"/>
      <c r="B3" s="42" t="inlineStr">
        <is>
          <t>Centralize your wedding details, budget and preferences once — every other sheet updates automatically.</t>
        </is>
      </c>
      <c r="C3" s="16" t="n"/>
      <c r="D3" s="16" t="n"/>
      <c r="E3" s="16" t="n"/>
      <c r="F3" s="16" t="n"/>
    </row>
    <row r="6">
      <c r="B6" s="62" t="inlineStr">
        <is>
          <t>Partner 1 Name</t>
        </is>
      </c>
      <c r="C6" s="63" t="inlineStr">
        <is>
          <t>Sophia Bennett</t>
        </is>
      </c>
    </row>
    <row r="7">
      <c r="B7" s="62" t="inlineStr">
        <is>
          <t>Partner 2 Name</t>
        </is>
      </c>
      <c r="C7" s="63" t="inlineStr">
        <is>
          <t>Daniel Whitfield</t>
        </is>
      </c>
    </row>
    <row r="8">
      <c r="B8" s="62" t="inlineStr">
        <is>
          <t>Wedding Date</t>
        </is>
      </c>
      <c r="C8" s="64" t="inlineStr">
        <is>
          <t>2027-06-15</t>
        </is>
      </c>
    </row>
    <row r="9">
      <c r="B9" s="62" t="inlineStr">
        <is>
          <t>Currency Symbol</t>
        </is>
      </c>
      <c r="C9" s="63" t="inlineStr">
        <is>
          <t>$</t>
        </is>
      </c>
    </row>
    <row r="10">
      <c r="B10" s="62" t="inlineStr">
        <is>
          <t>Wedding Location</t>
        </is>
      </c>
      <c r="C10" s="63" t="inlineStr">
        <is>
          <t>Napa Valley, California</t>
        </is>
      </c>
    </row>
    <row r="11">
      <c r="B11" s="62" t="inlineStr">
        <is>
          <t>Guest Target</t>
        </is>
      </c>
      <c r="C11" s="63" t="n">
        <v>150</v>
      </c>
    </row>
    <row r="12">
      <c r="B12" s="62" t="inlineStr">
        <is>
          <t>Total Wedding Budget</t>
        </is>
      </c>
      <c r="C12" s="65" t="n">
        <v>70000</v>
      </c>
    </row>
    <row r="13">
      <c r="B13" s="62" t="inlineStr">
        <is>
          <t>Number of Tables</t>
        </is>
      </c>
      <c r="C13" s="63" t="n">
        <v>16</v>
      </c>
    </row>
    <row r="14">
      <c r="B14" s="62" t="inlineStr">
        <is>
          <t>Seats per Table</t>
        </is>
      </c>
      <c r="C14" s="63" t="n">
        <v>10</v>
      </c>
    </row>
    <row r="15">
      <c r="B15" s="62" t="inlineStr">
        <is>
          <t>Honeymoon Budget</t>
        </is>
      </c>
      <c r="C15" s="65" t="n">
        <v>8000</v>
      </c>
    </row>
    <row r="16">
      <c r="B16" s="62" t="inlineStr">
        <is>
          <t>RSVP Reply-By Date</t>
        </is>
      </c>
      <c r="C16" s="64" t="inlineStr">
        <is>
          <t>2027-04-15</t>
        </is>
      </c>
    </row>
    <row r="18">
      <c r="B18" s="66" t="inlineStr">
        <is>
          <t>Edit the values above — the Dashboard, Budget, Guest List and every other sheet reference these settings automatically.</t>
        </is>
      </c>
    </row>
  </sheetData>
  <mergeCells count="1">
    <mergeCell ref="B18:F18"/>
  </mergeCells>
  <pageMargins left="0.5" right="0.5" top="0.6" bottom="0.6" header="0.5" footer="0.5"/>
  <pageSetup orientation="portrait" fitToHeight="1" fitToWidth="1"/>
</worksheet>
</file>

<file path=xl/worksheets/sheet18.xml><?xml version="1.0" encoding="utf-8"?>
<worksheet xmlns="http://schemas.openxmlformats.org/spreadsheetml/2006/main">
  <sheetPr>
    <tabColor rgb="00C98F91"/>
    <outlinePr summaryBelow="1" summaryRight="1"/>
    <pageSetUpPr/>
  </sheetPr>
  <dimension ref="A1:AG21"/>
  <sheetViews>
    <sheetView showGridLines="0" zoomScale="10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t="inlineStr">
        <is>
          <t>RSVPStatus</t>
        </is>
      </c>
      <c r="B1" t="inlineStr">
        <is>
          <t>PaymentStatus</t>
        </is>
      </c>
      <c r="C1" t="inlineStr">
        <is>
          <t>TaskStatus</t>
        </is>
      </c>
      <c r="D1" t="inlineStr">
        <is>
          <t>Priority</t>
        </is>
      </c>
      <c r="E1" t="inlineStr">
        <is>
          <t>ContractStatus</t>
        </is>
      </c>
      <c r="F1" t="inlineStr">
        <is>
          <t>BudgetCategory</t>
        </is>
      </c>
      <c r="G1" t="inlineStr">
        <is>
          <t>MealPreference</t>
        </is>
      </c>
      <c r="H1" t="inlineStr">
        <is>
          <t>InvitationStatus</t>
        </is>
      </c>
      <c r="I1" t="inlineStr">
        <is>
          <t>Side</t>
        </is>
      </c>
      <c r="J1" t="inlineStr">
        <is>
          <t>Owner</t>
        </is>
      </c>
      <c r="K1" t="inlineStr">
        <is>
          <t>PaymentMethod</t>
        </is>
      </c>
      <c r="L1" t="inlineStr">
        <is>
          <t>YesNo</t>
        </is>
      </c>
      <c r="M1" t="inlineStr">
        <is>
          <t>GiftType</t>
        </is>
      </c>
      <c r="N1" t="inlineStr">
        <is>
          <t>ChecklistPeriod</t>
        </is>
      </c>
      <c r="O1" t="inlineStr">
        <is>
          <t>FoodCategory</t>
        </is>
      </c>
      <c r="P1" t="inlineStr">
        <is>
          <t>HoneymoonCategory</t>
        </is>
      </c>
      <c r="Q1" t="inlineStr">
        <is>
          <t>Rating</t>
        </is>
      </c>
      <c r="R1" t="inlineStr">
        <is>
          <t>PlusOne</t>
        </is>
      </c>
      <c r="S1" t="inlineStr">
        <is>
          <t>Children</t>
        </is>
      </c>
      <c r="W1" t="inlineStr">
        <is>
          <t>Planned</t>
        </is>
      </c>
      <c r="X1" t="inlineStr">
        <is>
          <t>Actual</t>
        </is>
      </c>
      <c r="AE1" t="inlineStr">
        <is>
          <t>Completed</t>
        </is>
      </c>
      <c r="AF1" t="inlineStr">
        <is>
          <t>Remaining</t>
        </is>
      </c>
    </row>
    <row r="2">
      <c r="A2" t="inlineStr">
        <is>
          <t>Pending</t>
        </is>
      </c>
      <c r="B2" t="inlineStr">
        <is>
          <t>Not Started</t>
        </is>
      </c>
      <c r="C2" t="inlineStr">
        <is>
          <t>Not Started</t>
        </is>
      </c>
      <c r="D2" t="inlineStr">
        <is>
          <t>Low</t>
        </is>
      </c>
      <c r="E2" t="inlineStr">
        <is>
          <t>Not Sent</t>
        </is>
      </c>
      <c r="F2" t="inlineStr">
        <is>
          <t>Venue</t>
        </is>
      </c>
      <c r="G2" t="inlineStr">
        <is>
          <t>Standard</t>
        </is>
      </c>
      <c r="H2" t="inlineStr">
        <is>
          <t>Not Sent</t>
        </is>
      </c>
      <c r="I2" t="inlineStr">
        <is>
          <t>Partner 1</t>
        </is>
      </c>
      <c r="J2" t="inlineStr">
        <is>
          <t>Partner 1</t>
        </is>
      </c>
      <c r="K2" t="inlineStr">
        <is>
          <t>Bank Transfer</t>
        </is>
      </c>
      <c r="L2" t="inlineStr">
        <is>
          <t>Yes</t>
        </is>
      </c>
      <c r="M2" t="inlineStr">
        <is>
          <t>Physical Gift</t>
        </is>
      </c>
      <c r="N2" t="inlineStr">
        <is>
          <t>12+ Months Before</t>
        </is>
      </c>
      <c r="O2" t="inlineStr">
        <is>
          <t>Appetizers</t>
        </is>
      </c>
      <c r="P2" t="inlineStr">
        <is>
          <t>Flights</t>
        </is>
      </c>
      <c r="Q2" t="n">
        <v>1</v>
      </c>
      <c r="R2" t="inlineStr">
        <is>
          <t>Yes</t>
        </is>
      </c>
      <c r="S2" t="inlineStr">
        <is>
          <t>Yes</t>
        </is>
      </c>
      <c r="W2">
        <f>SUMIF(Budget!$B$6:$B$35,Lists!F2,Budget!$F$6:$F$35)</f>
        <v/>
      </c>
      <c r="X2">
        <f>SUMIF(Budget!$B$6:$B$35,Lists!F2,Budget!$G$6:$G$35)</f>
        <v/>
      </c>
      <c r="Y2" t="inlineStr">
        <is>
          <t>Paid</t>
        </is>
      </c>
      <c r="Z2">
        <f>SUM(Budget!J6:J35)</f>
        <v/>
      </c>
      <c r="AA2">
        <f>IFERROR(LARGE(Budget!$G$6:$G$35,1),"")</f>
        <v/>
      </c>
      <c r="AB2">
        <f>IFERROR(INDEX(Budget!$D$6:$D$35,MATCH(AA2,Budget!$G$6:$G$35,0)),"")</f>
        <v/>
      </c>
      <c r="AC2">
        <f>COUNTIF('Guest List'!$I$6:$I$65,Lists!A2)</f>
        <v/>
      </c>
      <c r="AD2">
        <f>COUNTIF('Guest List'!$L$6:$L$65,Lists!G2)</f>
        <v/>
      </c>
      <c r="AE2">
        <f>COUNTIFS('Master Checklist'!$B$6:$B$65,Lists!N2,'Master Checklist'!$H$6:$H$65,"Completed")</f>
        <v/>
      </c>
      <c r="AF2">
        <f>COUNTIFS('Master Checklist'!$B$6:$B$65,Lists!N2)-AE2</f>
        <v/>
      </c>
      <c r="AG2" t="inlineStr">
        <is>
          <t>12+ Months</t>
        </is>
      </c>
    </row>
    <row r="3">
      <c r="A3" t="inlineStr">
        <is>
          <t>Attending</t>
        </is>
      </c>
      <c r="B3" t="inlineStr">
        <is>
          <t>Deposit Paid</t>
        </is>
      </c>
      <c r="C3" t="inlineStr">
        <is>
          <t>In Progress</t>
        </is>
      </c>
      <c r="D3" t="inlineStr">
        <is>
          <t>Medium</t>
        </is>
      </c>
      <c r="E3" t="inlineStr">
        <is>
          <t>Sent</t>
        </is>
      </c>
      <c r="F3" t="inlineStr">
        <is>
          <t>Catering</t>
        </is>
      </c>
      <c r="G3" t="inlineStr">
        <is>
          <t>Vegetarian</t>
        </is>
      </c>
      <c r="H3" t="inlineStr">
        <is>
          <t>Save-the-Date Sent</t>
        </is>
      </c>
      <c r="I3" t="inlineStr">
        <is>
          <t>Partner 2</t>
        </is>
      </c>
      <c r="J3" t="inlineStr">
        <is>
          <t>Partner 2</t>
        </is>
      </c>
      <c r="K3" t="inlineStr">
        <is>
          <t>Credit Card</t>
        </is>
      </c>
      <c r="L3" t="inlineStr">
        <is>
          <t>No</t>
        </is>
      </c>
      <c r="M3" t="inlineStr">
        <is>
          <t>Cash Gift</t>
        </is>
      </c>
      <c r="N3" t="inlineStr">
        <is>
          <t>9-12 Months Before</t>
        </is>
      </c>
      <c r="O3" t="inlineStr">
        <is>
          <t>Main Course</t>
        </is>
      </c>
      <c r="P3" t="inlineStr">
        <is>
          <t>Hotel</t>
        </is>
      </c>
      <c r="Q3" t="n">
        <v>2</v>
      </c>
      <c r="R3" t="inlineStr">
        <is>
          <t>No</t>
        </is>
      </c>
      <c r="S3" t="inlineStr">
        <is>
          <t>No</t>
        </is>
      </c>
      <c r="W3">
        <f>SUMIF(Budget!$B$6:$B$35,Lists!F3,Budget!$F$6:$F$35)</f>
        <v/>
      </c>
      <c r="X3">
        <f>SUMIF(Budget!$B$6:$B$35,Lists!F3,Budget!$G$6:$G$35)</f>
        <v/>
      </c>
      <c r="Y3" t="inlineStr">
        <is>
          <t>Remaining</t>
        </is>
      </c>
      <c r="Z3">
        <f>SUM(Budget!K6:K35)</f>
        <v/>
      </c>
      <c r="AA3">
        <f>IFERROR(LARGE(Budget!$G$6:$G$35,2),"")</f>
        <v/>
      </c>
      <c r="AB3">
        <f>IFERROR(INDEX(Budget!$D$6:$D$35,MATCH(AA3,Budget!$G$6:$G$35,0)),"")</f>
        <v/>
      </c>
      <c r="AC3">
        <f>COUNTIF('Guest List'!$I$6:$I$65,Lists!A3)</f>
        <v/>
      </c>
      <c r="AD3">
        <f>COUNTIF('Guest List'!$L$6:$L$65,Lists!G3)</f>
        <v/>
      </c>
      <c r="AE3">
        <f>COUNTIFS('Master Checklist'!$B$6:$B$65,Lists!N3,'Master Checklist'!$H$6:$H$65,"Completed")</f>
        <v/>
      </c>
      <c r="AF3">
        <f>COUNTIFS('Master Checklist'!$B$6:$B$65,Lists!N3)-AE3</f>
        <v/>
      </c>
      <c r="AG3" t="inlineStr">
        <is>
          <t>9-12 Months</t>
        </is>
      </c>
    </row>
    <row r="4">
      <c r="A4" t="inlineStr">
        <is>
          <t>Declined</t>
        </is>
      </c>
      <c r="B4" t="inlineStr">
        <is>
          <t>Partially Paid</t>
        </is>
      </c>
      <c r="C4" t="inlineStr">
        <is>
          <t>Completed</t>
        </is>
      </c>
      <c r="D4" t="inlineStr">
        <is>
          <t>High</t>
        </is>
      </c>
      <c r="E4" t="inlineStr">
        <is>
          <t>Signed</t>
        </is>
      </c>
      <c r="F4" t="inlineStr">
        <is>
          <t>Photography</t>
        </is>
      </c>
      <c r="G4" t="inlineStr">
        <is>
          <t>Vegan</t>
        </is>
      </c>
      <c r="H4" t="inlineStr">
        <is>
          <t>Invitation Sent</t>
        </is>
      </c>
      <c r="I4" t="inlineStr">
        <is>
          <t>Both</t>
        </is>
      </c>
      <c r="J4" t="inlineStr">
        <is>
          <t>Wedding Planner</t>
        </is>
      </c>
      <c r="K4" t="inlineStr">
        <is>
          <t>Cash</t>
        </is>
      </c>
      <c r="M4" t="inlineStr">
        <is>
          <t>Gift Card</t>
        </is>
      </c>
      <c r="N4" t="inlineStr">
        <is>
          <t>6-9 Months Before</t>
        </is>
      </c>
      <c r="O4" t="inlineStr">
        <is>
          <t>Dessert</t>
        </is>
      </c>
      <c r="P4" t="inlineStr">
        <is>
          <t>Transportation</t>
        </is>
      </c>
      <c r="Q4" t="n">
        <v>3</v>
      </c>
      <c r="W4">
        <f>SUMIF(Budget!$B$6:$B$35,Lists!F4,Budget!$F$6:$F$35)</f>
        <v/>
      </c>
      <c r="X4">
        <f>SUMIF(Budget!$B$6:$B$35,Lists!F4,Budget!$G$6:$G$35)</f>
        <v/>
      </c>
      <c r="AA4">
        <f>IFERROR(LARGE(Budget!$G$6:$G$35,3),"")</f>
        <v/>
      </c>
      <c r="AB4">
        <f>IFERROR(INDEX(Budget!$D$6:$D$35,MATCH(AA4,Budget!$G$6:$G$35,0)),"")</f>
        <v/>
      </c>
      <c r="AC4">
        <f>COUNTIF('Guest List'!$I$6:$I$65,Lists!A4)</f>
        <v/>
      </c>
      <c r="AD4">
        <f>COUNTIF('Guest List'!$L$6:$L$65,Lists!G4)</f>
        <v/>
      </c>
      <c r="AE4">
        <f>COUNTIFS('Master Checklist'!$B$6:$B$65,Lists!N4,'Master Checklist'!$H$6:$H$65,"Completed")</f>
        <v/>
      </c>
      <c r="AF4">
        <f>COUNTIFS('Master Checklist'!$B$6:$B$65,Lists!N4)-AE4</f>
        <v/>
      </c>
      <c r="AG4" t="inlineStr">
        <is>
          <t>6-9 Months</t>
        </is>
      </c>
    </row>
    <row r="5">
      <c r="A5" t="inlineStr">
        <is>
          <t>Tentative</t>
        </is>
      </c>
      <c r="B5" t="inlineStr">
        <is>
          <t>Paid in Full</t>
        </is>
      </c>
      <c r="C5" t="inlineStr">
        <is>
          <t>Overdue</t>
        </is>
      </c>
      <c r="E5" t="inlineStr">
        <is>
          <t>Cancelled</t>
        </is>
      </c>
      <c r="F5" t="inlineStr">
        <is>
          <t>Videography</t>
        </is>
      </c>
      <c r="G5" t="inlineStr">
        <is>
          <t>Gluten-Free</t>
        </is>
      </c>
      <c r="J5" t="inlineStr">
        <is>
          <t>Both</t>
        </is>
      </c>
      <c r="K5" t="inlineStr">
        <is>
          <t>Cheque</t>
        </is>
      </c>
      <c r="M5" t="inlineStr">
        <is>
          <t>Experience</t>
        </is>
      </c>
      <c r="N5" t="inlineStr">
        <is>
          <t>3-6 Months Before</t>
        </is>
      </c>
      <c r="O5" t="inlineStr">
        <is>
          <t>Cake</t>
        </is>
      </c>
      <c r="P5" t="inlineStr">
        <is>
          <t>Food</t>
        </is>
      </c>
      <c r="Q5" t="n">
        <v>4</v>
      </c>
      <c r="W5">
        <f>SUMIF(Budget!$B$6:$B$35,Lists!F5,Budget!$F$6:$F$35)</f>
        <v/>
      </c>
      <c r="X5">
        <f>SUMIF(Budget!$B$6:$B$35,Lists!F5,Budget!$G$6:$G$35)</f>
        <v/>
      </c>
      <c r="AA5">
        <f>IFERROR(LARGE(Budget!$G$6:$G$35,4),"")</f>
        <v/>
      </c>
      <c r="AB5">
        <f>IFERROR(INDEX(Budget!$D$6:$D$35,MATCH(AA5,Budget!$G$6:$G$35,0)),"")</f>
        <v/>
      </c>
      <c r="AC5">
        <f>COUNTIF('Guest List'!$I$6:$I$65,Lists!A5)</f>
        <v/>
      </c>
      <c r="AD5">
        <f>COUNTIF('Guest List'!$L$6:$L$65,Lists!G5)</f>
        <v/>
      </c>
      <c r="AE5">
        <f>COUNTIFS('Master Checklist'!$B$6:$B$65,Lists!N5,'Master Checklist'!$H$6:$H$65,"Completed")</f>
        <v/>
      </c>
      <c r="AF5">
        <f>COUNTIFS('Master Checklist'!$B$6:$B$65,Lists!N5)-AE5</f>
        <v/>
      </c>
      <c r="AG5" t="inlineStr">
        <is>
          <t>3-6 Months</t>
        </is>
      </c>
    </row>
    <row r="6">
      <c r="B6" t="inlineStr">
        <is>
          <t>Overdue</t>
        </is>
      </c>
      <c r="F6" t="inlineStr">
        <is>
          <t>Attire</t>
        </is>
      </c>
      <c r="G6" t="inlineStr">
        <is>
          <t>Kids Meal</t>
        </is>
      </c>
      <c r="J6" t="inlineStr">
        <is>
          <t>Parents</t>
        </is>
      </c>
      <c r="K6" t="inlineStr">
        <is>
          <t>Digital Wallet</t>
        </is>
      </c>
      <c r="M6" t="inlineStr">
        <is>
          <t>Registry Item</t>
        </is>
      </c>
      <c r="N6" t="inlineStr">
        <is>
          <t>1-3 Months Before</t>
        </is>
      </c>
      <c r="O6" t="inlineStr">
        <is>
          <t>Drinks</t>
        </is>
      </c>
      <c r="P6" t="inlineStr">
        <is>
          <t>Activities</t>
        </is>
      </c>
      <c r="Q6" t="n">
        <v>5</v>
      </c>
      <c r="W6">
        <f>SUMIF(Budget!$B$6:$B$35,Lists!F6,Budget!$F$6:$F$35)</f>
        <v/>
      </c>
      <c r="X6">
        <f>SUMIF(Budget!$B$6:$B$35,Lists!F6,Budget!$G$6:$G$35)</f>
        <v/>
      </c>
      <c r="AA6">
        <f>IFERROR(LARGE(Budget!$G$6:$G$35,5),"")</f>
        <v/>
      </c>
      <c r="AB6">
        <f>IFERROR(INDEX(Budget!$D$6:$D$35,MATCH(AA6,Budget!$G$6:$G$35,0)),"")</f>
        <v/>
      </c>
      <c r="AD6">
        <f>COUNTIF('Guest List'!$L$6:$L$65,Lists!G6)</f>
        <v/>
      </c>
      <c r="AE6">
        <f>COUNTIFS('Master Checklist'!$B$6:$B$65,Lists!N6,'Master Checklist'!$H$6:$H$65,"Completed")</f>
        <v/>
      </c>
      <c r="AF6">
        <f>COUNTIFS('Master Checklist'!$B$6:$B$65,Lists!N6)-AE6</f>
        <v/>
      </c>
      <c r="AG6" t="inlineStr">
        <is>
          <t>1-3 Months</t>
        </is>
      </c>
    </row>
    <row r="7">
      <c r="F7" t="inlineStr">
        <is>
          <t>Beauty</t>
        </is>
      </c>
      <c r="G7" t="inlineStr">
        <is>
          <t>Other</t>
        </is>
      </c>
      <c r="N7" t="inlineStr">
        <is>
          <t>Final Month</t>
        </is>
      </c>
      <c r="O7" t="inlineStr">
        <is>
          <t>Late Night Food</t>
        </is>
      </c>
      <c r="P7" t="inlineStr">
        <is>
          <t>Shopping</t>
        </is>
      </c>
      <c r="W7">
        <f>SUMIF(Budget!$B$6:$B$35,Lists!F7,Budget!$F$6:$F$35)</f>
        <v/>
      </c>
      <c r="X7">
        <f>SUMIF(Budget!$B$6:$B$35,Lists!F7,Budget!$G$6:$G$35)</f>
        <v/>
      </c>
      <c r="AD7">
        <f>COUNTIF('Guest List'!$L$6:$L$65,Lists!G7)</f>
        <v/>
      </c>
      <c r="AE7">
        <f>COUNTIFS('Master Checklist'!$B$6:$B$65,Lists!N7,'Master Checklist'!$H$6:$H$65,"Completed")</f>
        <v/>
      </c>
      <c r="AF7">
        <f>COUNTIFS('Master Checklist'!$B$6:$B$65,Lists!N7)-AE7</f>
        <v/>
      </c>
      <c r="AG7" t="inlineStr">
        <is>
          <t>Final Month</t>
        </is>
      </c>
    </row>
    <row r="8">
      <c r="F8" t="inlineStr">
        <is>
          <t>Flowers</t>
        </is>
      </c>
      <c r="N8" t="inlineStr">
        <is>
          <t>Wedding Week</t>
        </is>
      </c>
      <c r="P8" t="inlineStr">
        <is>
          <t>Travel Insurance</t>
        </is>
      </c>
      <c r="W8">
        <f>SUMIF(Budget!$B$6:$B$35,Lists!F8,Budget!$F$6:$F$35)</f>
        <v/>
      </c>
      <c r="X8">
        <f>SUMIF(Budget!$B$6:$B$35,Lists!F8,Budget!$G$6:$G$35)</f>
        <v/>
      </c>
      <c r="AE8">
        <f>COUNTIFS('Master Checklist'!$B$6:$B$65,Lists!N8,'Master Checklist'!$H$6:$H$65,"Completed")</f>
        <v/>
      </c>
      <c r="AF8">
        <f>COUNTIFS('Master Checklist'!$B$6:$B$65,Lists!N8)-AE8</f>
        <v/>
      </c>
      <c r="AG8" t="inlineStr">
        <is>
          <t>Wedding Week</t>
        </is>
      </c>
    </row>
    <row r="9">
      <c r="F9" t="inlineStr">
        <is>
          <t>Decor</t>
        </is>
      </c>
      <c r="N9" t="inlineStr">
        <is>
          <t>Wedding Day</t>
        </is>
      </c>
      <c r="P9" t="inlineStr">
        <is>
          <t>Miscellaneous</t>
        </is>
      </c>
      <c r="W9">
        <f>SUMIF(Budget!$B$6:$B$35,Lists!F9,Budget!$F$6:$F$35)</f>
        <v/>
      </c>
      <c r="X9">
        <f>SUMIF(Budget!$B$6:$B$35,Lists!F9,Budget!$G$6:$G$35)</f>
        <v/>
      </c>
      <c r="AE9">
        <f>COUNTIFS('Master Checklist'!$B$6:$B$65,Lists!N9,'Master Checklist'!$H$6:$H$65,"Completed")</f>
        <v/>
      </c>
      <c r="AF9">
        <f>COUNTIFS('Master Checklist'!$B$6:$B$65,Lists!N9)-AE9</f>
        <v/>
      </c>
      <c r="AG9" t="inlineStr">
        <is>
          <t>Wedding Day</t>
        </is>
      </c>
    </row>
    <row r="10">
      <c r="F10" t="inlineStr">
        <is>
          <t>Entertainment</t>
        </is>
      </c>
      <c r="N10" t="inlineStr">
        <is>
          <t>Post-Wedding</t>
        </is>
      </c>
      <c r="W10">
        <f>SUMIF(Budget!$B$6:$B$35,Lists!F10,Budget!$F$6:$F$35)</f>
        <v/>
      </c>
      <c r="X10">
        <f>SUMIF(Budget!$B$6:$B$35,Lists!F10,Budget!$G$6:$G$35)</f>
        <v/>
      </c>
      <c r="AE10">
        <f>COUNTIFS('Master Checklist'!$B$6:$B$65,Lists!N10,'Master Checklist'!$H$6:$H$65,"Completed")</f>
        <v/>
      </c>
      <c r="AF10">
        <f>COUNTIFS('Master Checklist'!$B$6:$B$65,Lists!N10)-AE10</f>
        <v/>
      </c>
      <c r="AG10" t="inlineStr">
        <is>
          <t>Post-Wedding</t>
        </is>
      </c>
    </row>
    <row r="11">
      <c r="F11" t="inlineStr">
        <is>
          <t>Music</t>
        </is>
      </c>
      <c r="W11">
        <f>SUMIF(Budget!$B$6:$B$35,Lists!F11,Budget!$F$6:$F$35)</f>
        <v/>
      </c>
      <c r="X11">
        <f>SUMIF(Budget!$B$6:$B$35,Lists!F11,Budget!$G$6:$G$35)</f>
        <v/>
      </c>
    </row>
    <row r="12">
      <c r="F12" t="inlineStr">
        <is>
          <t>Transportation</t>
        </is>
      </c>
      <c r="W12">
        <f>SUMIF(Budget!$B$6:$B$35,Lists!F12,Budget!$F$6:$F$35)</f>
        <v/>
      </c>
      <c r="X12">
        <f>SUMIF(Budget!$B$6:$B$35,Lists!F12,Budget!$G$6:$G$35)</f>
        <v/>
      </c>
    </row>
    <row r="13">
      <c r="F13" t="inlineStr">
        <is>
          <t>Invitations</t>
        </is>
      </c>
      <c r="W13">
        <f>SUMIF(Budget!$B$6:$B$35,Lists!F13,Budget!$F$6:$F$35)</f>
        <v/>
      </c>
      <c r="X13">
        <f>SUMIF(Budget!$B$6:$B$35,Lists!F13,Budget!$G$6:$G$35)</f>
        <v/>
      </c>
    </row>
    <row r="14">
      <c r="F14" t="inlineStr">
        <is>
          <t>Stationery</t>
        </is>
      </c>
      <c r="W14">
        <f>SUMIF(Budget!$B$6:$B$35,Lists!F14,Budget!$F$6:$F$35)</f>
        <v/>
      </c>
      <c r="X14">
        <f>SUMIF(Budget!$B$6:$B$35,Lists!F14,Budget!$G$6:$G$35)</f>
        <v/>
      </c>
    </row>
    <row r="15">
      <c r="F15" t="inlineStr">
        <is>
          <t>Cake</t>
        </is>
      </c>
      <c r="W15">
        <f>SUMIF(Budget!$B$6:$B$35,Lists!F15,Budget!$F$6:$F$35)</f>
        <v/>
      </c>
      <c r="X15">
        <f>SUMIF(Budget!$B$6:$B$35,Lists!F15,Budget!$G$6:$G$35)</f>
        <v/>
      </c>
    </row>
    <row r="16">
      <c r="F16" t="inlineStr">
        <is>
          <t>Rings</t>
        </is>
      </c>
      <c r="W16">
        <f>SUMIF(Budget!$B$6:$B$35,Lists!F16,Budget!$F$6:$F$35)</f>
        <v/>
      </c>
      <c r="X16">
        <f>SUMIF(Budget!$B$6:$B$35,Lists!F16,Budget!$G$6:$G$35)</f>
        <v/>
      </c>
    </row>
    <row r="17">
      <c r="F17" t="inlineStr">
        <is>
          <t>Rentals</t>
        </is>
      </c>
      <c r="W17">
        <f>SUMIF(Budget!$B$6:$B$35,Lists!F17,Budget!$F$6:$F$35)</f>
        <v/>
      </c>
      <c r="X17">
        <f>SUMIF(Budget!$B$6:$B$35,Lists!F17,Budget!$G$6:$G$35)</f>
        <v/>
      </c>
    </row>
    <row r="18">
      <c r="F18" t="inlineStr">
        <is>
          <t>Accommodation</t>
        </is>
      </c>
      <c r="W18">
        <f>SUMIF(Budget!$B$6:$B$35,Lists!F18,Budget!$F$6:$F$35)</f>
        <v/>
      </c>
      <c r="X18">
        <f>SUMIF(Budget!$B$6:$B$35,Lists!F18,Budget!$G$6:$G$35)</f>
        <v/>
      </c>
    </row>
    <row r="19">
      <c r="F19" t="inlineStr">
        <is>
          <t>Gifts</t>
        </is>
      </c>
      <c r="W19">
        <f>SUMIF(Budget!$B$6:$B$35,Lists!F19,Budget!$F$6:$F$35)</f>
        <v/>
      </c>
      <c r="X19">
        <f>SUMIF(Budget!$B$6:$B$35,Lists!F19,Budget!$G$6:$G$35)</f>
        <v/>
      </c>
    </row>
    <row r="20">
      <c r="F20" t="inlineStr">
        <is>
          <t>Honeymoon</t>
        </is>
      </c>
      <c r="W20">
        <f>SUMIF(Budget!$B$6:$B$35,Lists!F20,Budget!$F$6:$F$35)</f>
        <v/>
      </c>
      <c r="X20">
        <f>SUMIF(Budget!$B$6:$B$35,Lists!F20,Budget!$G$6:$G$35)</f>
        <v/>
      </c>
    </row>
    <row r="21">
      <c r="F21" t="inlineStr">
        <is>
          <t>Miscellaneous</t>
        </is>
      </c>
      <c r="W21">
        <f>SUMIF(Budget!$B$6:$B$35,Lists!F21,Budget!$F$6:$F$35)</f>
        <v/>
      </c>
      <c r="X21">
        <f>SUMIF(Budget!$B$6:$B$35,Lists!F21,Budget!$G$6:$G$35)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2026-09-22T11:43:56Z</dcterms:created>
  <dcterms:modified xsi:type="dcterms:W3CDTF">2026-09-22T11:43:56Z</dcterms:modified>
</cp:coreProperties>
</file>